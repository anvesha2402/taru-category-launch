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rice_Audit" sheetId="2" state="visible" r:id="rId4"/>
    <sheet name="Reviews" sheetId="3" state="visible" r:id="rId5"/>
    <sheet name="Test_Reviews_120" sheetId="4" state="visible" r:id="rId6"/>
    <sheet name="Guardrail_Test_Claims" sheetId="5" state="visible" r:id="rId7"/>
    <sheet name="Trends_Log" sheetId="6" state="visible" r:id="rId8"/>
    <sheet name="Wedding_Calendar" sheetId="7" state="visible" r:id="rId9"/>
    <sheet name="Tracker" sheetId="8" state="visible" r:id="rId10"/>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Label from the review TEXT only. Ignore the star rating: stars and text often disagree. 1–2 stars ≠ automatically negative here.</t>
        </r>
      </text>
    </comment>
  </commentList>
</comments>
</file>

<file path=xl/sharedStrings.xml><?xml version="1.0" encoding="utf-8"?>
<sst xmlns="http://schemas.openxmlformats.org/spreadsheetml/2006/main" count="930" uniqueCount="907">
  <si>
    <t xml:space="preserve">TARU: Data Collection Workbook</t>
  </si>
  <si>
    <t xml:space="preserve">Purpose</t>
  </si>
  <si>
    <t xml:space="preserve">One place for everything you collect by hand: price audit, review corpus, the 120 locked test reviews, the 40 guardrail test claims, Google Trends exports and the wedding calendar. Tracker shows progress against the pass marks.</t>
  </si>
  <si>
    <t xml:space="preserve">How to use</t>
  </si>
  <si>
    <t xml:space="preserve">Upload this file to your taru-category-launch Drive folder and open it as a Google Sheet. Yellow cells are yours to fill; dropdowns keep values consistent. Each tab's row 2 is a worked example in grey italics: overwrite or delete it.</t>
  </si>
  <si>
    <t xml:space="preserve">Export</t>
  </si>
  <si>
    <t xml:space="preserve">When a tab is complete: File → Download → CSV (current sheet). Save as data/raw/price_audit/price_audit.csv and data/raw/reviews/reviews.csv in the repo.</t>
  </si>
  <si>
    <t xml:space="preserve">Rules</t>
  </si>
  <si>
    <t xml:space="preserve">Copy by hand only; no scraping tools (brief rule 2). No reviewer names, handles or photos. Record the date you collected each row.</t>
  </si>
  <si>
    <t xml:space="preserve">Gold sets (DL-04)</t>
  </si>
  <si>
    <t xml:space="preserve">Label the 120 test reviews and write and label the 40 test claims yourself, before any model sees them. Don't paste them into Claude or any other AI tool before the labels are locked.</t>
  </si>
  <si>
    <t xml:space="preserve">Google Trends</t>
  </si>
  <si>
    <t xml:space="preserve">trends.google.com → Explore → set India, 'Past 5 years', category All → enter one term → the download arrow on 'Interest over time' saves a CSV of weekly values. Repeat per term (one term per export, so each is scaled 0–100 on its own). Save to data/raw/trends/ using the file names in Trends_Log.</t>
  </si>
  <si>
    <t xml:space="preserve">sku_id</t>
  </si>
  <si>
    <t xml:space="preserve">brand</t>
  </si>
  <si>
    <t xml:space="preserve">product</t>
  </si>
  <si>
    <t xml:space="preserve">line</t>
  </si>
  <si>
    <t xml:space="preserve">fabric_composition</t>
  </si>
  <si>
    <t xml:space="preserve">certification_claim</t>
  </si>
  <si>
    <t xml:space="preserve">mrp_inr</t>
  </si>
  <si>
    <t xml:space="preserve">selling_price_inr</t>
  </si>
  <si>
    <t xml:space="preserve">discount_pct</t>
  </si>
  <si>
    <t xml:space="preserve">return_policy</t>
  </si>
  <si>
    <t xml:space="preserve">url</t>
  </si>
  <si>
    <t xml:space="preserve">date_collected</t>
  </si>
  <si>
    <t xml:space="preserve">notes</t>
  </si>
  <si>
    <t xml:space="preserve">P001</t>
  </si>
  <si>
    <t xml:space="preserve">Manyavar</t>
  </si>
  <si>
    <t xml:space="preserve">[example] Cotton blend kurta set</t>
  </si>
  <si>
    <t xml:space="preserve">everyday</t>
  </si>
  <si>
    <t xml:space="preserve">60% cotton, 40% polyester</t>
  </si>
  <si>
    <t xml:space="preserve">none</t>
  </si>
  <si>
    <t xml:space="preserve">Returns within 15 days</t>
  </si>
  <si>
    <t xml:space="preserve">https://...</t>
  </si>
  <si>
    <t xml:space="preserve">2026-10-01</t>
  </si>
  <si>
    <t xml:space="preserve">Example row: overwrite</t>
  </si>
  <si>
    <t xml:space="preserve">P002</t>
  </si>
  <si>
    <t xml:space="preserve">P003</t>
  </si>
  <si>
    <t xml:space="preserve">P004</t>
  </si>
  <si>
    <t xml:space="preserve">P005</t>
  </si>
  <si>
    <t xml:space="preserve">P006</t>
  </si>
  <si>
    <t xml:space="preserve">P007</t>
  </si>
  <si>
    <t xml:space="preserve">P008</t>
  </si>
  <si>
    <t xml:space="preserve">P009</t>
  </si>
  <si>
    <t xml:space="preserve">P010</t>
  </si>
  <si>
    <t xml:space="preserve">P011</t>
  </si>
  <si>
    <t xml:space="preserve">P012</t>
  </si>
  <si>
    <t xml:space="preserve">P013</t>
  </si>
  <si>
    <t xml:space="preserve">P014</t>
  </si>
  <si>
    <t xml:space="preserve">P015</t>
  </si>
  <si>
    <t xml:space="preserve">P016</t>
  </si>
  <si>
    <t xml:space="preserve">P017</t>
  </si>
  <si>
    <t xml:space="preserve">P018</t>
  </si>
  <si>
    <t xml:space="preserve">P019</t>
  </si>
  <si>
    <t xml:space="preserve">P020</t>
  </si>
  <si>
    <t xml:space="preserve">P021</t>
  </si>
  <si>
    <t xml:space="preserve">P022</t>
  </si>
  <si>
    <t xml:space="preserve">P023</t>
  </si>
  <si>
    <t xml:space="preserve">P024</t>
  </si>
  <si>
    <t xml:space="preserve">P025</t>
  </si>
  <si>
    <t xml:space="preserve">P026</t>
  </si>
  <si>
    <t xml:space="preserve">P027</t>
  </si>
  <si>
    <t xml:space="preserve">P028</t>
  </si>
  <si>
    <t xml:space="preserve">P029</t>
  </si>
  <si>
    <t xml:space="preserve">P030</t>
  </si>
  <si>
    <t xml:space="preserve">P031</t>
  </si>
  <si>
    <t xml:space="preserve">P032</t>
  </si>
  <si>
    <t xml:space="preserve">P033</t>
  </si>
  <si>
    <t xml:space="preserve">P034</t>
  </si>
  <si>
    <t xml:space="preserve">P035</t>
  </si>
  <si>
    <t xml:space="preserve">P036</t>
  </si>
  <si>
    <t xml:space="preserve">P037</t>
  </si>
  <si>
    <t xml:space="preserve">P038</t>
  </si>
  <si>
    <t xml:space="preserve">P039</t>
  </si>
  <si>
    <t xml:space="preserve">P040</t>
  </si>
  <si>
    <t xml:space="preserve">P041</t>
  </si>
  <si>
    <t xml:space="preserve">P042</t>
  </si>
  <si>
    <t xml:space="preserve">P043</t>
  </si>
  <si>
    <t xml:space="preserve">P044</t>
  </si>
  <si>
    <t xml:space="preserve">P045</t>
  </si>
  <si>
    <t xml:space="preserve">P046</t>
  </si>
  <si>
    <t xml:space="preserve">P047</t>
  </si>
  <si>
    <t xml:space="preserve">P048</t>
  </si>
  <si>
    <t xml:space="preserve">P049</t>
  </si>
  <si>
    <t xml:space="preserve">P050</t>
  </si>
  <si>
    <t xml:space="preserve">P051</t>
  </si>
  <si>
    <t xml:space="preserve">P052</t>
  </si>
  <si>
    <t xml:space="preserve">P053</t>
  </si>
  <si>
    <t xml:space="preserve">P054</t>
  </si>
  <si>
    <t xml:space="preserve">P055</t>
  </si>
  <si>
    <t xml:space="preserve">P056</t>
  </si>
  <si>
    <t xml:space="preserve">P057</t>
  </si>
  <si>
    <t xml:space="preserve">P058</t>
  </si>
  <si>
    <t xml:space="preserve">P059</t>
  </si>
  <si>
    <t xml:space="preserve">P060</t>
  </si>
  <si>
    <t xml:space="preserve">P061</t>
  </si>
  <si>
    <t xml:space="preserve">P062</t>
  </si>
  <si>
    <t xml:space="preserve">P063</t>
  </si>
  <si>
    <t xml:space="preserve">P064</t>
  </si>
  <si>
    <t xml:space="preserve">P065</t>
  </si>
  <si>
    <t xml:space="preserve">P066</t>
  </si>
  <si>
    <t xml:space="preserve">P067</t>
  </si>
  <si>
    <t xml:space="preserve">P068</t>
  </si>
  <si>
    <t xml:space="preserve">P069</t>
  </si>
  <si>
    <t xml:space="preserve">P070</t>
  </si>
  <si>
    <t xml:space="preserve">P071</t>
  </si>
  <si>
    <t xml:space="preserve">P072</t>
  </si>
  <si>
    <t xml:space="preserve">P073</t>
  </si>
  <si>
    <t xml:space="preserve">P074</t>
  </si>
  <si>
    <t xml:space="preserve">P075</t>
  </si>
  <si>
    <t xml:space="preserve">P076</t>
  </si>
  <si>
    <t xml:space="preserve">P077</t>
  </si>
  <si>
    <t xml:space="preserve">P078</t>
  </si>
  <si>
    <t xml:space="preserve">P079</t>
  </si>
  <si>
    <t xml:space="preserve">review_id</t>
  </si>
  <si>
    <t xml:space="preserve">fabric</t>
  </si>
  <si>
    <t xml:space="preserve">star_rating</t>
  </si>
  <si>
    <t xml:space="preserve">review_text</t>
  </si>
  <si>
    <t xml:space="preserve">language</t>
  </si>
  <si>
    <t xml:space="preserve">review_date</t>
  </si>
  <si>
    <t xml:space="preserve">source_site</t>
  </si>
  <si>
    <t xml:space="preserve">V0001</t>
  </si>
  <si>
    <t xml:space="preserve">Tasva</t>
  </si>
  <si>
    <t xml:space="preserve">[example] Linen kurta set</t>
  </si>
  <si>
    <t xml:space="preserve">Linen blend</t>
  </si>
  <si>
    <t xml:space="preserve">[example] Fabric is soft but size runs small around the stomach</t>
  </si>
  <si>
    <t xml:space="preserve">English</t>
  </si>
  <si>
    <t xml:space="preserve">2026-08-14</t>
  </si>
  <si>
    <t xml:space="preserve">tasva.com</t>
  </si>
  <si>
    <t xml:space="preserve">2026-10-02</t>
  </si>
  <si>
    <t xml:space="preserve">V0002</t>
  </si>
  <si>
    <t xml:space="preserve">V0003</t>
  </si>
  <si>
    <t xml:space="preserve">V0004</t>
  </si>
  <si>
    <t xml:space="preserve">V0005</t>
  </si>
  <si>
    <t xml:space="preserve">V0006</t>
  </si>
  <si>
    <t xml:space="preserve">V0007</t>
  </si>
  <si>
    <t xml:space="preserve">V0008</t>
  </si>
  <si>
    <t xml:space="preserve">V0009</t>
  </si>
  <si>
    <t xml:space="preserve">V0010</t>
  </si>
  <si>
    <t xml:space="preserve">V0011</t>
  </si>
  <si>
    <t xml:space="preserve">V0012</t>
  </si>
  <si>
    <t xml:space="preserve">V0013</t>
  </si>
  <si>
    <t xml:space="preserve">V0014</t>
  </si>
  <si>
    <t xml:space="preserve">V0015</t>
  </si>
  <si>
    <t xml:space="preserve">V0016</t>
  </si>
  <si>
    <t xml:space="preserve">V0017</t>
  </si>
  <si>
    <t xml:space="preserve">V0018</t>
  </si>
  <si>
    <t xml:space="preserve">V0019</t>
  </si>
  <si>
    <t xml:space="preserve">V0020</t>
  </si>
  <si>
    <t xml:space="preserve">V0021</t>
  </si>
  <si>
    <t xml:space="preserve">V0022</t>
  </si>
  <si>
    <t xml:space="preserve">V0023</t>
  </si>
  <si>
    <t xml:space="preserve">V0024</t>
  </si>
  <si>
    <t xml:space="preserve">V0025</t>
  </si>
  <si>
    <t xml:space="preserve">V0026</t>
  </si>
  <si>
    <t xml:space="preserve">V0027</t>
  </si>
  <si>
    <t xml:space="preserve">V0028</t>
  </si>
  <si>
    <t xml:space="preserve">V0029</t>
  </si>
  <si>
    <t xml:space="preserve">V0030</t>
  </si>
  <si>
    <t xml:space="preserve">V0031</t>
  </si>
  <si>
    <t xml:space="preserve">V0032</t>
  </si>
  <si>
    <t xml:space="preserve">V0033</t>
  </si>
  <si>
    <t xml:space="preserve">V0034</t>
  </si>
  <si>
    <t xml:space="preserve">V0035</t>
  </si>
  <si>
    <t xml:space="preserve">V0036</t>
  </si>
  <si>
    <t xml:space="preserve">V0037</t>
  </si>
  <si>
    <t xml:space="preserve">V0038</t>
  </si>
  <si>
    <t xml:space="preserve">V0039</t>
  </si>
  <si>
    <t xml:space="preserve">V0040</t>
  </si>
  <si>
    <t xml:space="preserve">V0041</t>
  </si>
  <si>
    <t xml:space="preserve">V0042</t>
  </si>
  <si>
    <t xml:space="preserve">V0043</t>
  </si>
  <si>
    <t xml:space="preserve">V0044</t>
  </si>
  <si>
    <t xml:space="preserve">V0045</t>
  </si>
  <si>
    <t xml:space="preserve">V0046</t>
  </si>
  <si>
    <t xml:space="preserve">V0047</t>
  </si>
  <si>
    <t xml:space="preserve">V0048</t>
  </si>
  <si>
    <t xml:space="preserve">V0049</t>
  </si>
  <si>
    <t xml:space="preserve">V0050</t>
  </si>
  <si>
    <t xml:space="preserve">V0051</t>
  </si>
  <si>
    <t xml:space="preserve">V0052</t>
  </si>
  <si>
    <t xml:space="preserve">V0053</t>
  </si>
  <si>
    <t xml:space="preserve">V0054</t>
  </si>
  <si>
    <t xml:space="preserve">V0055</t>
  </si>
  <si>
    <t xml:space="preserve">V0056</t>
  </si>
  <si>
    <t xml:space="preserve">V0057</t>
  </si>
  <si>
    <t xml:space="preserve">V0058</t>
  </si>
  <si>
    <t xml:space="preserve">V0059</t>
  </si>
  <si>
    <t xml:space="preserve">V0060</t>
  </si>
  <si>
    <t xml:space="preserve">V0061</t>
  </si>
  <si>
    <t xml:space="preserve">V0062</t>
  </si>
  <si>
    <t xml:space="preserve">V0063</t>
  </si>
  <si>
    <t xml:space="preserve">V0064</t>
  </si>
  <si>
    <t xml:space="preserve">V0065</t>
  </si>
  <si>
    <t xml:space="preserve">V0066</t>
  </si>
  <si>
    <t xml:space="preserve">V0067</t>
  </si>
  <si>
    <t xml:space="preserve">V0068</t>
  </si>
  <si>
    <t xml:space="preserve">V0069</t>
  </si>
  <si>
    <t xml:space="preserve">V0070</t>
  </si>
  <si>
    <t xml:space="preserve">V0071</t>
  </si>
  <si>
    <t xml:space="preserve">V0072</t>
  </si>
  <si>
    <t xml:space="preserve">V0073</t>
  </si>
  <si>
    <t xml:space="preserve">V0074</t>
  </si>
  <si>
    <t xml:space="preserve">V0075</t>
  </si>
  <si>
    <t xml:space="preserve">V0076</t>
  </si>
  <si>
    <t xml:space="preserve">V0077</t>
  </si>
  <si>
    <t xml:space="preserve">V0078</t>
  </si>
  <si>
    <t xml:space="preserve">V0079</t>
  </si>
  <si>
    <t xml:space="preserve">V0080</t>
  </si>
  <si>
    <t xml:space="preserve">V0081</t>
  </si>
  <si>
    <t xml:space="preserve">V0082</t>
  </si>
  <si>
    <t xml:space="preserve">V0083</t>
  </si>
  <si>
    <t xml:space="preserve">V0084</t>
  </si>
  <si>
    <t xml:space="preserve">V0085</t>
  </si>
  <si>
    <t xml:space="preserve">V0086</t>
  </si>
  <si>
    <t xml:space="preserve">V0087</t>
  </si>
  <si>
    <t xml:space="preserve">V0088</t>
  </si>
  <si>
    <t xml:space="preserve">V0089</t>
  </si>
  <si>
    <t xml:space="preserve">V0090</t>
  </si>
  <si>
    <t xml:space="preserve">V0091</t>
  </si>
  <si>
    <t xml:space="preserve">V0092</t>
  </si>
  <si>
    <t xml:space="preserve">V0093</t>
  </si>
  <si>
    <t xml:space="preserve">V0094</t>
  </si>
  <si>
    <t xml:space="preserve">V0095</t>
  </si>
  <si>
    <t xml:space="preserve">V0096</t>
  </si>
  <si>
    <t xml:space="preserve">V0097</t>
  </si>
  <si>
    <t xml:space="preserve">V0098</t>
  </si>
  <si>
    <t xml:space="preserve">V0099</t>
  </si>
  <si>
    <t xml:space="preserve">V0100</t>
  </si>
  <si>
    <t xml:space="preserve">V0101</t>
  </si>
  <si>
    <t xml:space="preserve">V0102</t>
  </si>
  <si>
    <t xml:space="preserve">V0103</t>
  </si>
  <si>
    <t xml:space="preserve">V0104</t>
  </si>
  <si>
    <t xml:space="preserve">V0105</t>
  </si>
  <si>
    <t xml:space="preserve">V0106</t>
  </si>
  <si>
    <t xml:space="preserve">V0107</t>
  </si>
  <si>
    <t xml:space="preserve">V0108</t>
  </si>
  <si>
    <t xml:space="preserve">V0109</t>
  </si>
  <si>
    <t xml:space="preserve">V0110</t>
  </si>
  <si>
    <t xml:space="preserve">V0111</t>
  </si>
  <si>
    <t xml:space="preserve">V0112</t>
  </si>
  <si>
    <t xml:space="preserve">V0113</t>
  </si>
  <si>
    <t xml:space="preserve">V0114</t>
  </si>
  <si>
    <t xml:space="preserve">V0115</t>
  </si>
  <si>
    <t xml:space="preserve">V0116</t>
  </si>
  <si>
    <t xml:space="preserve">V0117</t>
  </si>
  <si>
    <t xml:space="preserve">V0118</t>
  </si>
  <si>
    <t xml:space="preserve">V0119</t>
  </si>
  <si>
    <t xml:space="preserve">V0120</t>
  </si>
  <si>
    <t xml:space="preserve">V0121</t>
  </si>
  <si>
    <t xml:space="preserve">V0122</t>
  </si>
  <si>
    <t xml:space="preserve">V0123</t>
  </si>
  <si>
    <t xml:space="preserve">V0124</t>
  </si>
  <si>
    <t xml:space="preserve">V0125</t>
  </si>
  <si>
    <t xml:space="preserve">V0126</t>
  </si>
  <si>
    <t xml:space="preserve">V0127</t>
  </si>
  <si>
    <t xml:space="preserve">V0128</t>
  </si>
  <si>
    <t xml:space="preserve">V0129</t>
  </si>
  <si>
    <t xml:space="preserve">V0130</t>
  </si>
  <si>
    <t xml:space="preserve">V0131</t>
  </si>
  <si>
    <t xml:space="preserve">V0132</t>
  </si>
  <si>
    <t xml:space="preserve">V0133</t>
  </si>
  <si>
    <t xml:space="preserve">V0134</t>
  </si>
  <si>
    <t xml:space="preserve">V0135</t>
  </si>
  <si>
    <t xml:space="preserve">V0136</t>
  </si>
  <si>
    <t xml:space="preserve">V0137</t>
  </si>
  <si>
    <t xml:space="preserve">V0138</t>
  </si>
  <si>
    <t xml:space="preserve">V0139</t>
  </si>
  <si>
    <t xml:space="preserve">V0140</t>
  </si>
  <si>
    <t xml:space="preserve">V0141</t>
  </si>
  <si>
    <t xml:space="preserve">V0142</t>
  </si>
  <si>
    <t xml:space="preserve">V0143</t>
  </si>
  <si>
    <t xml:space="preserve">V0144</t>
  </si>
  <si>
    <t xml:space="preserve">V0145</t>
  </si>
  <si>
    <t xml:space="preserve">V0146</t>
  </si>
  <si>
    <t xml:space="preserve">V0147</t>
  </si>
  <si>
    <t xml:space="preserve">V0148</t>
  </si>
  <si>
    <t xml:space="preserve">V0149</t>
  </si>
  <si>
    <t xml:space="preserve">V0150</t>
  </si>
  <si>
    <t xml:space="preserve">V0151</t>
  </si>
  <si>
    <t xml:space="preserve">V0152</t>
  </si>
  <si>
    <t xml:space="preserve">V0153</t>
  </si>
  <si>
    <t xml:space="preserve">V0154</t>
  </si>
  <si>
    <t xml:space="preserve">V0155</t>
  </si>
  <si>
    <t xml:space="preserve">V0156</t>
  </si>
  <si>
    <t xml:space="preserve">V0157</t>
  </si>
  <si>
    <t xml:space="preserve">V0158</t>
  </si>
  <si>
    <t xml:space="preserve">V0159</t>
  </si>
  <si>
    <t xml:space="preserve">V0160</t>
  </si>
  <si>
    <t xml:space="preserve">V0161</t>
  </si>
  <si>
    <t xml:space="preserve">V0162</t>
  </si>
  <si>
    <t xml:space="preserve">V0163</t>
  </si>
  <si>
    <t xml:space="preserve">V0164</t>
  </si>
  <si>
    <t xml:space="preserve">V0165</t>
  </si>
  <si>
    <t xml:space="preserve">V0166</t>
  </si>
  <si>
    <t xml:space="preserve">V0167</t>
  </si>
  <si>
    <t xml:space="preserve">V0168</t>
  </si>
  <si>
    <t xml:space="preserve">V0169</t>
  </si>
  <si>
    <t xml:space="preserve">V0170</t>
  </si>
  <si>
    <t xml:space="preserve">V0171</t>
  </si>
  <si>
    <t xml:space="preserve">V0172</t>
  </si>
  <si>
    <t xml:space="preserve">V0173</t>
  </si>
  <si>
    <t xml:space="preserve">V0174</t>
  </si>
  <si>
    <t xml:space="preserve">V0175</t>
  </si>
  <si>
    <t xml:space="preserve">V0176</t>
  </si>
  <si>
    <t xml:space="preserve">V0177</t>
  </si>
  <si>
    <t xml:space="preserve">V0178</t>
  </si>
  <si>
    <t xml:space="preserve">V0179</t>
  </si>
  <si>
    <t xml:space="preserve">V0180</t>
  </si>
  <si>
    <t xml:space="preserve">V0181</t>
  </si>
  <si>
    <t xml:space="preserve">V0182</t>
  </si>
  <si>
    <t xml:space="preserve">V0183</t>
  </si>
  <si>
    <t xml:space="preserve">V0184</t>
  </si>
  <si>
    <t xml:space="preserve">V0185</t>
  </si>
  <si>
    <t xml:space="preserve">V0186</t>
  </si>
  <si>
    <t xml:space="preserve">V0187</t>
  </si>
  <si>
    <t xml:space="preserve">V0188</t>
  </si>
  <si>
    <t xml:space="preserve">V0189</t>
  </si>
  <si>
    <t xml:space="preserve">V0190</t>
  </si>
  <si>
    <t xml:space="preserve">V0191</t>
  </si>
  <si>
    <t xml:space="preserve">V0192</t>
  </si>
  <si>
    <t xml:space="preserve">V0193</t>
  </si>
  <si>
    <t xml:space="preserve">V0194</t>
  </si>
  <si>
    <t xml:space="preserve">V0195</t>
  </si>
  <si>
    <t xml:space="preserve">V0196</t>
  </si>
  <si>
    <t xml:space="preserve">V0197</t>
  </si>
  <si>
    <t xml:space="preserve">V0198</t>
  </si>
  <si>
    <t xml:space="preserve">V0199</t>
  </si>
  <si>
    <t xml:space="preserve">V0200</t>
  </si>
  <si>
    <t xml:space="preserve">V0201</t>
  </si>
  <si>
    <t xml:space="preserve">V0202</t>
  </si>
  <si>
    <t xml:space="preserve">V0203</t>
  </si>
  <si>
    <t xml:space="preserve">V0204</t>
  </si>
  <si>
    <t xml:space="preserve">V0205</t>
  </si>
  <si>
    <t xml:space="preserve">V0206</t>
  </si>
  <si>
    <t xml:space="preserve">V0207</t>
  </si>
  <si>
    <t xml:space="preserve">V0208</t>
  </si>
  <si>
    <t xml:space="preserve">V0209</t>
  </si>
  <si>
    <t xml:space="preserve">V0210</t>
  </si>
  <si>
    <t xml:space="preserve">V0211</t>
  </si>
  <si>
    <t xml:space="preserve">V0212</t>
  </si>
  <si>
    <t xml:space="preserve">V0213</t>
  </si>
  <si>
    <t xml:space="preserve">V0214</t>
  </si>
  <si>
    <t xml:space="preserve">V0215</t>
  </si>
  <si>
    <t xml:space="preserve">V0216</t>
  </si>
  <si>
    <t xml:space="preserve">V0217</t>
  </si>
  <si>
    <t xml:space="preserve">V0218</t>
  </si>
  <si>
    <t xml:space="preserve">V0219</t>
  </si>
  <si>
    <t xml:space="preserve">V0220</t>
  </si>
  <si>
    <t xml:space="preserve">V0221</t>
  </si>
  <si>
    <t xml:space="preserve">V0222</t>
  </si>
  <si>
    <t xml:space="preserve">V0223</t>
  </si>
  <si>
    <t xml:space="preserve">V0224</t>
  </si>
  <si>
    <t xml:space="preserve">V0225</t>
  </si>
  <si>
    <t xml:space="preserve">V0226</t>
  </si>
  <si>
    <t xml:space="preserve">V0227</t>
  </si>
  <si>
    <t xml:space="preserve">V0228</t>
  </si>
  <si>
    <t xml:space="preserve">V0229</t>
  </si>
  <si>
    <t xml:space="preserve">V0230</t>
  </si>
  <si>
    <t xml:space="preserve">V0231</t>
  </si>
  <si>
    <t xml:space="preserve">V0232</t>
  </si>
  <si>
    <t xml:space="preserve">V0233</t>
  </si>
  <si>
    <t xml:space="preserve">V0234</t>
  </si>
  <si>
    <t xml:space="preserve">V0235</t>
  </si>
  <si>
    <t xml:space="preserve">V0236</t>
  </si>
  <si>
    <t xml:space="preserve">V0237</t>
  </si>
  <si>
    <t xml:space="preserve">V0238</t>
  </si>
  <si>
    <t xml:space="preserve">V0239</t>
  </si>
  <si>
    <t xml:space="preserve">V0240</t>
  </si>
  <si>
    <t xml:space="preserve">V0241</t>
  </si>
  <si>
    <t xml:space="preserve">V0242</t>
  </si>
  <si>
    <t xml:space="preserve">V0243</t>
  </si>
  <si>
    <t xml:space="preserve">V0244</t>
  </si>
  <si>
    <t xml:space="preserve">V0245</t>
  </si>
  <si>
    <t xml:space="preserve">V0246</t>
  </si>
  <si>
    <t xml:space="preserve">V0247</t>
  </si>
  <si>
    <t xml:space="preserve">V0248</t>
  </si>
  <si>
    <t xml:space="preserve">V0249</t>
  </si>
  <si>
    <t xml:space="preserve">V0250</t>
  </si>
  <si>
    <t xml:space="preserve">V0251</t>
  </si>
  <si>
    <t xml:space="preserve">V0252</t>
  </si>
  <si>
    <t xml:space="preserve">V0253</t>
  </si>
  <si>
    <t xml:space="preserve">V0254</t>
  </si>
  <si>
    <t xml:space="preserve">V0255</t>
  </si>
  <si>
    <t xml:space="preserve">V0256</t>
  </si>
  <si>
    <t xml:space="preserve">V0257</t>
  </si>
  <si>
    <t xml:space="preserve">V0258</t>
  </si>
  <si>
    <t xml:space="preserve">V0259</t>
  </si>
  <si>
    <t xml:space="preserve">V0260</t>
  </si>
  <si>
    <t xml:space="preserve">V0261</t>
  </si>
  <si>
    <t xml:space="preserve">V0262</t>
  </si>
  <si>
    <t xml:space="preserve">V0263</t>
  </si>
  <si>
    <t xml:space="preserve">V0264</t>
  </si>
  <si>
    <t xml:space="preserve">V0265</t>
  </si>
  <si>
    <t xml:space="preserve">V0266</t>
  </si>
  <si>
    <t xml:space="preserve">V0267</t>
  </si>
  <si>
    <t xml:space="preserve">V0268</t>
  </si>
  <si>
    <t xml:space="preserve">V0269</t>
  </si>
  <si>
    <t xml:space="preserve">V0270</t>
  </si>
  <si>
    <t xml:space="preserve">V0271</t>
  </si>
  <si>
    <t xml:space="preserve">V0272</t>
  </si>
  <si>
    <t xml:space="preserve">V0273</t>
  </si>
  <si>
    <t xml:space="preserve">V0274</t>
  </si>
  <si>
    <t xml:space="preserve">V0275</t>
  </si>
  <si>
    <t xml:space="preserve">V0276</t>
  </si>
  <si>
    <t xml:space="preserve">V0277</t>
  </si>
  <si>
    <t xml:space="preserve">V0278</t>
  </si>
  <si>
    <t xml:space="preserve">V0279</t>
  </si>
  <si>
    <t xml:space="preserve">V0280</t>
  </si>
  <si>
    <t xml:space="preserve">V0281</t>
  </si>
  <si>
    <t xml:space="preserve">V0282</t>
  </si>
  <si>
    <t xml:space="preserve">V0283</t>
  </si>
  <si>
    <t xml:space="preserve">V0284</t>
  </si>
  <si>
    <t xml:space="preserve">V0285</t>
  </si>
  <si>
    <t xml:space="preserve">V0286</t>
  </si>
  <si>
    <t xml:space="preserve">V0287</t>
  </si>
  <si>
    <t xml:space="preserve">V0288</t>
  </si>
  <si>
    <t xml:space="preserve">V0289</t>
  </si>
  <si>
    <t xml:space="preserve">V0290</t>
  </si>
  <si>
    <t xml:space="preserve">V0291</t>
  </si>
  <si>
    <t xml:space="preserve">V0292</t>
  </si>
  <si>
    <t xml:space="preserve">V0293</t>
  </si>
  <si>
    <t xml:space="preserve">V0294</t>
  </si>
  <si>
    <t xml:space="preserve">V0295</t>
  </si>
  <si>
    <t xml:space="preserve">V0296</t>
  </si>
  <si>
    <t xml:space="preserve">V0297</t>
  </si>
  <si>
    <t xml:space="preserve">V0298</t>
  </si>
  <si>
    <t xml:space="preserve">V0299</t>
  </si>
  <si>
    <t xml:space="preserve">V0300</t>
  </si>
  <si>
    <t xml:space="preserve">V0301</t>
  </si>
  <si>
    <t xml:space="preserve">V0302</t>
  </si>
  <si>
    <t xml:space="preserve">V0303</t>
  </si>
  <si>
    <t xml:space="preserve">V0304</t>
  </si>
  <si>
    <t xml:space="preserve">V0305</t>
  </si>
  <si>
    <t xml:space="preserve">V0306</t>
  </si>
  <si>
    <t xml:space="preserve">V0307</t>
  </si>
  <si>
    <t xml:space="preserve">V0308</t>
  </si>
  <si>
    <t xml:space="preserve">V0309</t>
  </si>
  <si>
    <t xml:space="preserve">V0310</t>
  </si>
  <si>
    <t xml:space="preserve">V0311</t>
  </si>
  <si>
    <t xml:space="preserve">V0312</t>
  </si>
  <si>
    <t xml:space="preserve">V0313</t>
  </si>
  <si>
    <t xml:space="preserve">V0314</t>
  </si>
  <si>
    <t xml:space="preserve">V0315</t>
  </si>
  <si>
    <t xml:space="preserve">V0316</t>
  </si>
  <si>
    <t xml:space="preserve">V0317</t>
  </si>
  <si>
    <t xml:space="preserve">V0318</t>
  </si>
  <si>
    <t xml:space="preserve">V0319</t>
  </si>
  <si>
    <t xml:space="preserve">V0320</t>
  </si>
  <si>
    <t xml:space="preserve">V0321</t>
  </si>
  <si>
    <t xml:space="preserve">V0322</t>
  </si>
  <si>
    <t xml:space="preserve">V0323</t>
  </si>
  <si>
    <t xml:space="preserve">V0324</t>
  </si>
  <si>
    <t xml:space="preserve">V0325</t>
  </si>
  <si>
    <t xml:space="preserve">V0326</t>
  </si>
  <si>
    <t xml:space="preserve">V0327</t>
  </si>
  <si>
    <t xml:space="preserve">V0328</t>
  </si>
  <si>
    <t xml:space="preserve">V0329</t>
  </si>
  <si>
    <t xml:space="preserve">V0330</t>
  </si>
  <si>
    <t xml:space="preserve">V0331</t>
  </si>
  <si>
    <t xml:space="preserve">V0332</t>
  </si>
  <si>
    <t xml:space="preserve">V0333</t>
  </si>
  <si>
    <t xml:space="preserve">V0334</t>
  </si>
  <si>
    <t xml:space="preserve">V0335</t>
  </si>
  <si>
    <t xml:space="preserve">V0336</t>
  </si>
  <si>
    <t xml:space="preserve">V0337</t>
  </si>
  <si>
    <t xml:space="preserve">V0338</t>
  </si>
  <si>
    <t xml:space="preserve">V0339</t>
  </si>
  <si>
    <t xml:space="preserve">V0340</t>
  </si>
  <si>
    <t xml:space="preserve">V0341</t>
  </si>
  <si>
    <t xml:space="preserve">V0342</t>
  </si>
  <si>
    <t xml:space="preserve">V0343</t>
  </si>
  <si>
    <t xml:space="preserve">V0344</t>
  </si>
  <si>
    <t xml:space="preserve">V0345</t>
  </si>
  <si>
    <t xml:space="preserve">V0346</t>
  </si>
  <si>
    <t xml:space="preserve">V0347</t>
  </si>
  <si>
    <t xml:space="preserve">V0348</t>
  </si>
  <si>
    <t xml:space="preserve">V0349</t>
  </si>
  <si>
    <t xml:space="preserve">V0350</t>
  </si>
  <si>
    <t xml:space="preserve">V0351</t>
  </si>
  <si>
    <t xml:space="preserve">V0352</t>
  </si>
  <si>
    <t xml:space="preserve">V0353</t>
  </si>
  <si>
    <t xml:space="preserve">V0354</t>
  </si>
  <si>
    <t xml:space="preserve">V0355</t>
  </si>
  <si>
    <t xml:space="preserve">V0356</t>
  </si>
  <si>
    <t xml:space="preserve">V0357</t>
  </si>
  <si>
    <t xml:space="preserve">V0358</t>
  </si>
  <si>
    <t xml:space="preserve">V0359</t>
  </si>
  <si>
    <t xml:space="preserve">V0360</t>
  </si>
  <si>
    <t xml:space="preserve">V0361</t>
  </si>
  <si>
    <t xml:space="preserve">V0362</t>
  </si>
  <si>
    <t xml:space="preserve">V0363</t>
  </si>
  <si>
    <t xml:space="preserve">V0364</t>
  </si>
  <si>
    <t xml:space="preserve">V0365</t>
  </si>
  <si>
    <t xml:space="preserve">V0366</t>
  </si>
  <si>
    <t xml:space="preserve">V0367</t>
  </si>
  <si>
    <t xml:space="preserve">V0368</t>
  </si>
  <si>
    <t xml:space="preserve">V0369</t>
  </si>
  <si>
    <t xml:space="preserve">V0370</t>
  </si>
  <si>
    <t xml:space="preserve">V0371</t>
  </si>
  <si>
    <t xml:space="preserve">V0372</t>
  </si>
  <si>
    <t xml:space="preserve">V0373</t>
  </si>
  <si>
    <t xml:space="preserve">V0374</t>
  </si>
  <si>
    <t xml:space="preserve">V0375</t>
  </si>
  <si>
    <t xml:space="preserve">V0376</t>
  </si>
  <si>
    <t xml:space="preserve">V0377</t>
  </si>
  <si>
    <t xml:space="preserve">V0378</t>
  </si>
  <si>
    <t xml:space="preserve">V0379</t>
  </si>
  <si>
    <t xml:space="preserve">V0380</t>
  </si>
  <si>
    <t xml:space="preserve">V0381</t>
  </si>
  <si>
    <t xml:space="preserve">V0382</t>
  </si>
  <si>
    <t xml:space="preserve">V0383</t>
  </si>
  <si>
    <t xml:space="preserve">V0384</t>
  </si>
  <si>
    <t xml:space="preserve">V0385</t>
  </si>
  <si>
    <t xml:space="preserve">V0386</t>
  </si>
  <si>
    <t xml:space="preserve">V0387</t>
  </si>
  <si>
    <t xml:space="preserve">V0388</t>
  </si>
  <si>
    <t xml:space="preserve">V0389</t>
  </si>
  <si>
    <t xml:space="preserve">V0390</t>
  </si>
  <si>
    <t xml:space="preserve">V0391</t>
  </si>
  <si>
    <t xml:space="preserve">V0392</t>
  </si>
  <si>
    <t xml:space="preserve">V0393</t>
  </si>
  <si>
    <t xml:space="preserve">V0394</t>
  </si>
  <si>
    <t xml:space="preserve">V0395</t>
  </si>
  <si>
    <t xml:space="preserve">V0396</t>
  </si>
  <si>
    <t xml:space="preserve">V0397</t>
  </si>
  <si>
    <t xml:space="preserve">V0398</t>
  </si>
  <si>
    <t xml:space="preserve">V0399</t>
  </si>
  <si>
    <t xml:space="preserve">V0400</t>
  </si>
  <si>
    <t xml:space="preserve">V0401</t>
  </si>
  <si>
    <t xml:space="preserve">V0402</t>
  </si>
  <si>
    <t xml:space="preserve">V0403</t>
  </si>
  <si>
    <t xml:space="preserve">V0404</t>
  </si>
  <si>
    <t xml:space="preserve">V0405</t>
  </si>
  <si>
    <t xml:space="preserve">V0406</t>
  </si>
  <si>
    <t xml:space="preserve">V0407</t>
  </si>
  <si>
    <t xml:space="preserve">V0408</t>
  </si>
  <si>
    <t xml:space="preserve">V0409</t>
  </si>
  <si>
    <t xml:space="preserve">V0410</t>
  </si>
  <si>
    <t xml:space="preserve">V0411</t>
  </si>
  <si>
    <t xml:space="preserve">V0412</t>
  </si>
  <si>
    <t xml:space="preserve">V0413</t>
  </si>
  <si>
    <t xml:space="preserve">V0414</t>
  </si>
  <si>
    <t xml:space="preserve">V0415</t>
  </si>
  <si>
    <t xml:space="preserve">V0416</t>
  </si>
  <si>
    <t xml:space="preserve">V0417</t>
  </si>
  <si>
    <t xml:space="preserve">V0418</t>
  </si>
  <si>
    <t xml:space="preserve">V0419</t>
  </si>
  <si>
    <t xml:space="preserve">V0420</t>
  </si>
  <si>
    <t xml:space="preserve">V0421</t>
  </si>
  <si>
    <t xml:space="preserve">V0422</t>
  </si>
  <si>
    <t xml:space="preserve">V0423</t>
  </si>
  <si>
    <t xml:space="preserve">V0424</t>
  </si>
  <si>
    <t xml:space="preserve">V0425</t>
  </si>
  <si>
    <t xml:space="preserve">V0426</t>
  </si>
  <si>
    <t xml:space="preserve">V0427</t>
  </si>
  <si>
    <t xml:space="preserve">V0428</t>
  </si>
  <si>
    <t xml:space="preserve">V0429</t>
  </si>
  <si>
    <t xml:space="preserve">V0430</t>
  </si>
  <si>
    <t xml:space="preserve">V0431</t>
  </si>
  <si>
    <t xml:space="preserve">V0432</t>
  </si>
  <si>
    <t xml:space="preserve">V0433</t>
  </si>
  <si>
    <t xml:space="preserve">V0434</t>
  </si>
  <si>
    <t xml:space="preserve">V0435</t>
  </si>
  <si>
    <t xml:space="preserve">V0436</t>
  </si>
  <si>
    <t xml:space="preserve">V0437</t>
  </si>
  <si>
    <t xml:space="preserve">V0438</t>
  </si>
  <si>
    <t xml:space="preserve">V0439</t>
  </si>
  <si>
    <t xml:space="preserve">V0440</t>
  </si>
  <si>
    <t xml:space="preserve">V0441</t>
  </si>
  <si>
    <t xml:space="preserve">V0442</t>
  </si>
  <si>
    <t xml:space="preserve">V0443</t>
  </si>
  <si>
    <t xml:space="preserve">V0444</t>
  </si>
  <si>
    <t xml:space="preserve">V0445</t>
  </si>
  <si>
    <t xml:space="preserve">V0446</t>
  </si>
  <si>
    <t xml:space="preserve">V0447</t>
  </si>
  <si>
    <t xml:space="preserve">V0448</t>
  </si>
  <si>
    <t xml:space="preserve">V0449</t>
  </si>
  <si>
    <t xml:space="preserve">V0450</t>
  </si>
  <si>
    <t xml:space="preserve">V0451</t>
  </si>
  <si>
    <t xml:space="preserve">V0452</t>
  </si>
  <si>
    <t xml:space="preserve">V0453</t>
  </si>
  <si>
    <t xml:space="preserve">V0454</t>
  </si>
  <si>
    <t xml:space="preserve">V0455</t>
  </si>
  <si>
    <t xml:space="preserve">V0456</t>
  </si>
  <si>
    <t xml:space="preserve">V0457</t>
  </si>
  <si>
    <t xml:space="preserve">V0458</t>
  </si>
  <si>
    <t xml:space="preserve">V0459</t>
  </si>
  <si>
    <t xml:space="preserve">V0460</t>
  </si>
  <si>
    <t xml:space="preserve">V0461</t>
  </si>
  <si>
    <t xml:space="preserve">V0462</t>
  </si>
  <si>
    <t xml:space="preserve">V0463</t>
  </si>
  <si>
    <t xml:space="preserve">V0464</t>
  </si>
  <si>
    <t xml:space="preserve">V0465</t>
  </si>
  <si>
    <t xml:space="preserve">V0466</t>
  </si>
  <si>
    <t xml:space="preserve">V0467</t>
  </si>
  <si>
    <t xml:space="preserve">V0468</t>
  </si>
  <si>
    <t xml:space="preserve">V0469</t>
  </si>
  <si>
    <t xml:space="preserve">V0470</t>
  </si>
  <si>
    <t xml:space="preserve">V0471</t>
  </si>
  <si>
    <t xml:space="preserve">V0472</t>
  </si>
  <si>
    <t xml:space="preserve">V0473</t>
  </si>
  <si>
    <t xml:space="preserve">V0474</t>
  </si>
  <si>
    <t xml:space="preserve">V0475</t>
  </si>
  <si>
    <t xml:space="preserve">V0476</t>
  </si>
  <si>
    <t xml:space="preserve">V0477</t>
  </si>
  <si>
    <t xml:space="preserve">V0478</t>
  </si>
  <si>
    <t xml:space="preserve">V0479</t>
  </si>
  <si>
    <t xml:space="preserve">V0480</t>
  </si>
  <si>
    <t xml:space="preserve">V0481</t>
  </si>
  <si>
    <t xml:space="preserve">V0482</t>
  </si>
  <si>
    <t xml:space="preserve">V0483</t>
  </si>
  <si>
    <t xml:space="preserve">V0484</t>
  </si>
  <si>
    <t xml:space="preserve">V0485</t>
  </si>
  <si>
    <t xml:space="preserve">V0486</t>
  </si>
  <si>
    <t xml:space="preserve">V0487</t>
  </si>
  <si>
    <t xml:space="preserve">V0488</t>
  </si>
  <si>
    <t xml:space="preserve">V0489</t>
  </si>
  <si>
    <t xml:space="preserve">V0490</t>
  </si>
  <si>
    <t xml:space="preserve">V0491</t>
  </si>
  <si>
    <t xml:space="preserve">V0492</t>
  </si>
  <si>
    <t xml:space="preserve">V0493</t>
  </si>
  <si>
    <t xml:space="preserve">V0494</t>
  </si>
  <si>
    <t xml:space="preserve">V0495</t>
  </si>
  <si>
    <t xml:space="preserve">V0496</t>
  </si>
  <si>
    <t xml:space="preserve">V0497</t>
  </si>
  <si>
    <t xml:space="preserve">V0498</t>
  </si>
  <si>
    <t xml:space="preserve">V0499</t>
  </si>
  <si>
    <t xml:space="preserve">V0500</t>
  </si>
  <si>
    <t xml:space="preserve">V0501</t>
  </si>
  <si>
    <t xml:space="preserve">test_id</t>
  </si>
  <si>
    <t xml:space="preserve">review_text (paste)</t>
  </si>
  <si>
    <t xml:space="preserve">your_label (from text only)</t>
  </si>
  <si>
    <t xml:space="preserve">aspects mentioned (optional)</t>
  </si>
  <si>
    <t xml:space="preserve">T001</t>
  </si>
  <si>
    <t xml:space="preserve">T002</t>
  </si>
  <si>
    <t xml:space="preserve">T003</t>
  </si>
  <si>
    <t xml:space="preserve">T004</t>
  </si>
  <si>
    <t xml:space="preserve">T005</t>
  </si>
  <si>
    <t xml:space="preserve">T006</t>
  </si>
  <si>
    <t xml:space="preserve">T007</t>
  </si>
  <si>
    <t xml:space="preserve">T008</t>
  </si>
  <si>
    <t xml:space="preserve">T009</t>
  </si>
  <si>
    <t xml:space="preserve">T010</t>
  </si>
  <si>
    <t xml:space="preserve">T011</t>
  </si>
  <si>
    <t xml:space="preserve">T012</t>
  </si>
  <si>
    <t xml:space="preserve">T013</t>
  </si>
  <si>
    <t xml:space="preserve">T014</t>
  </si>
  <si>
    <t xml:space="preserve">T015</t>
  </si>
  <si>
    <t xml:space="preserve">T016</t>
  </si>
  <si>
    <t xml:space="preserve">T017</t>
  </si>
  <si>
    <t xml:space="preserve">T018</t>
  </si>
  <si>
    <t xml:space="preserve">T019</t>
  </si>
  <si>
    <t xml:space="preserve">T020</t>
  </si>
  <si>
    <t xml:space="preserve">T021</t>
  </si>
  <si>
    <t xml:space="preserve">T022</t>
  </si>
  <si>
    <t xml:space="preserve">T023</t>
  </si>
  <si>
    <t xml:space="preserve">T024</t>
  </si>
  <si>
    <t xml:space="preserve">T025</t>
  </si>
  <si>
    <t xml:space="preserve">T026</t>
  </si>
  <si>
    <t xml:space="preserve">T027</t>
  </si>
  <si>
    <t xml:space="preserve">T028</t>
  </si>
  <si>
    <t xml:space="preserve">T029</t>
  </si>
  <si>
    <t xml:space="preserve">T030</t>
  </si>
  <si>
    <t xml:space="preserve">T031</t>
  </si>
  <si>
    <t xml:space="preserve">T032</t>
  </si>
  <si>
    <t xml:space="preserve">T033</t>
  </si>
  <si>
    <t xml:space="preserve">T034</t>
  </si>
  <si>
    <t xml:space="preserve">T035</t>
  </si>
  <si>
    <t xml:space="preserve">T036</t>
  </si>
  <si>
    <t xml:space="preserve">T037</t>
  </si>
  <si>
    <t xml:space="preserve">T038</t>
  </si>
  <si>
    <t xml:space="preserve">T039</t>
  </si>
  <si>
    <t xml:space="preserve">T040</t>
  </si>
  <si>
    <t xml:space="preserve">T041</t>
  </si>
  <si>
    <t xml:space="preserve">T042</t>
  </si>
  <si>
    <t xml:space="preserve">T043</t>
  </si>
  <si>
    <t xml:space="preserve">T044</t>
  </si>
  <si>
    <t xml:space="preserve">T045</t>
  </si>
  <si>
    <t xml:space="preserve">T046</t>
  </si>
  <si>
    <t xml:space="preserve">T047</t>
  </si>
  <si>
    <t xml:space="preserve">T048</t>
  </si>
  <si>
    <t xml:space="preserve">T049</t>
  </si>
  <si>
    <t xml:space="preserve">T050</t>
  </si>
  <si>
    <t xml:space="preserve">T051</t>
  </si>
  <si>
    <t xml:space="preserve">T052</t>
  </si>
  <si>
    <t xml:space="preserve">T053</t>
  </si>
  <si>
    <t xml:space="preserve">T054</t>
  </si>
  <si>
    <t xml:space="preserve">T055</t>
  </si>
  <si>
    <t xml:space="preserve">T056</t>
  </si>
  <si>
    <t xml:space="preserve">T057</t>
  </si>
  <si>
    <t xml:space="preserve">T058</t>
  </si>
  <si>
    <t xml:space="preserve">T059</t>
  </si>
  <si>
    <t xml:space="preserve">T060</t>
  </si>
  <si>
    <t xml:space="preserve">T061</t>
  </si>
  <si>
    <t xml:space="preserve">T062</t>
  </si>
  <si>
    <t xml:space="preserve">T063</t>
  </si>
  <si>
    <t xml:space="preserve">T064</t>
  </si>
  <si>
    <t xml:space="preserve">T065</t>
  </si>
  <si>
    <t xml:space="preserve">T066</t>
  </si>
  <si>
    <t xml:space="preserve">T067</t>
  </si>
  <si>
    <t xml:space="preserve">T068</t>
  </si>
  <si>
    <t xml:space="preserve">T069</t>
  </si>
  <si>
    <t xml:space="preserve">T070</t>
  </si>
  <si>
    <t xml:space="preserve">T071</t>
  </si>
  <si>
    <t xml:space="preserve">T072</t>
  </si>
  <si>
    <t xml:space="preserve">T073</t>
  </si>
  <si>
    <t xml:space="preserve">T074</t>
  </si>
  <si>
    <t xml:space="preserve">T075</t>
  </si>
  <si>
    <t xml:space="preserve">T076</t>
  </si>
  <si>
    <t xml:space="preserve">T077</t>
  </si>
  <si>
    <t xml:space="preserve">T078</t>
  </si>
  <si>
    <t xml:space="preserve">T079</t>
  </si>
  <si>
    <t xml:space="preserve">T080</t>
  </si>
  <si>
    <t xml:space="preserve">T081</t>
  </si>
  <si>
    <t xml:space="preserve">T082</t>
  </si>
  <si>
    <t xml:space="preserve">T083</t>
  </si>
  <si>
    <t xml:space="preserve">T084</t>
  </si>
  <si>
    <t xml:space="preserve">T085</t>
  </si>
  <si>
    <t xml:space="preserve">T086</t>
  </si>
  <si>
    <t xml:space="preserve">T087</t>
  </si>
  <si>
    <t xml:space="preserve">T088</t>
  </si>
  <si>
    <t xml:space="preserve">T089</t>
  </si>
  <si>
    <t xml:space="preserve">T090</t>
  </si>
  <si>
    <t xml:space="preserve">T091</t>
  </si>
  <si>
    <t xml:space="preserve">T092</t>
  </si>
  <si>
    <t xml:space="preserve">T093</t>
  </si>
  <si>
    <t xml:space="preserve">T094</t>
  </si>
  <si>
    <t xml:space="preserve">T095</t>
  </si>
  <si>
    <t xml:space="preserve">T096</t>
  </si>
  <si>
    <t xml:space="preserve">T097</t>
  </si>
  <si>
    <t xml:space="preserve">T098</t>
  </si>
  <si>
    <t xml:space="preserve">T099</t>
  </si>
  <si>
    <t xml:space="preserve">T100</t>
  </si>
  <si>
    <t xml:space="preserve">T101</t>
  </si>
  <si>
    <t xml:space="preserve">T102</t>
  </si>
  <si>
    <t xml:space="preserve">T103</t>
  </si>
  <si>
    <t xml:space="preserve">T104</t>
  </si>
  <si>
    <t xml:space="preserve">T105</t>
  </si>
  <si>
    <t xml:space="preserve">T106</t>
  </si>
  <si>
    <t xml:space="preserve">T107</t>
  </si>
  <si>
    <t xml:space="preserve">T108</t>
  </si>
  <si>
    <t xml:space="preserve">T109</t>
  </si>
  <si>
    <t xml:space="preserve">T110</t>
  </si>
  <si>
    <t xml:space="preserve">T111</t>
  </si>
  <si>
    <t xml:space="preserve">T112</t>
  </si>
  <si>
    <t xml:space="preserve">T113</t>
  </si>
  <si>
    <t xml:space="preserve">T114</t>
  </si>
  <si>
    <t xml:space="preserve">T115</t>
  </si>
  <si>
    <t xml:space="preserve">T116</t>
  </si>
  <si>
    <t xml:space="preserve">T117</t>
  </si>
  <si>
    <t xml:space="preserve">T118</t>
  </si>
  <si>
    <t xml:space="preserve">T119</t>
  </si>
  <si>
    <t xml:space="preserve">T120</t>
  </si>
  <si>
    <t xml:space="preserve">claim_id</t>
  </si>
  <si>
    <t xml:space="preserve">claim_text (you write)</t>
  </si>
  <si>
    <t xml:space="preserve">where it would appear</t>
  </si>
  <si>
    <t xml:space="preserve">category (see list)</t>
  </si>
  <si>
    <t xml:space="preserve">your_label</t>
  </si>
  <si>
    <t xml:space="preserve">your_risk</t>
  </si>
  <si>
    <t xml:space="preserve">clause you relied on (document + clause no.)</t>
  </si>
  <si>
    <t xml:space="preserve">classmate_label</t>
  </si>
  <si>
    <t xml:space="preserve">agree?</t>
  </si>
  <si>
    <t xml:space="preserve">GC01</t>
  </si>
  <si>
    <t xml:space="preserve">GC02</t>
  </si>
  <si>
    <t xml:space="preserve">GC03</t>
  </si>
  <si>
    <t xml:space="preserve">GC04</t>
  </si>
  <si>
    <t xml:space="preserve">GC05</t>
  </si>
  <si>
    <t xml:space="preserve">GC06</t>
  </si>
  <si>
    <t xml:space="preserve">GC07</t>
  </si>
  <si>
    <t xml:space="preserve">GC08</t>
  </si>
  <si>
    <t xml:space="preserve">GC09</t>
  </si>
  <si>
    <t xml:space="preserve">GC10</t>
  </si>
  <si>
    <t xml:space="preserve">GC11</t>
  </si>
  <si>
    <t xml:space="preserve">GC12</t>
  </si>
  <si>
    <t xml:space="preserve">GC13</t>
  </si>
  <si>
    <t xml:space="preserve">GC14</t>
  </si>
  <si>
    <t xml:space="preserve">GC15</t>
  </si>
  <si>
    <t xml:space="preserve">GC16</t>
  </si>
  <si>
    <t xml:space="preserve">GC17</t>
  </si>
  <si>
    <t xml:space="preserve">GC18</t>
  </si>
  <si>
    <t xml:space="preserve">GC19</t>
  </si>
  <si>
    <t xml:space="preserve">GC20</t>
  </si>
  <si>
    <t xml:space="preserve">GC21</t>
  </si>
  <si>
    <t xml:space="preserve">GC22</t>
  </si>
  <si>
    <t xml:space="preserve">GC23</t>
  </si>
  <si>
    <t xml:space="preserve">GC24</t>
  </si>
  <si>
    <t xml:space="preserve">GC25</t>
  </si>
  <si>
    <t xml:space="preserve">GC26</t>
  </si>
  <si>
    <t xml:space="preserve">GC27</t>
  </si>
  <si>
    <t xml:space="preserve">GC28</t>
  </si>
  <si>
    <t xml:space="preserve">GC29</t>
  </si>
  <si>
    <t xml:space="preserve">GC30</t>
  </si>
  <si>
    <t xml:space="preserve">GC31</t>
  </si>
  <si>
    <t xml:space="preserve">GC32</t>
  </si>
  <si>
    <t xml:space="preserve">GC33</t>
  </si>
  <si>
    <t xml:space="preserve">GC34</t>
  </si>
  <si>
    <t xml:space="preserve">GC35</t>
  </si>
  <si>
    <t xml:space="preserve">GC36</t>
  </si>
  <si>
    <t xml:space="preserve">GC37</t>
  </si>
  <si>
    <t xml:space="preserve">GC38</t>
  </si>
  <si>
    <t xml:space="preserve">GC39</t>
  </si>
  <si>
    <t xml:space="preserve">GC40</t>
  </si>
  <si>
    <t xml:space="preserve">Category</t>
  </si>
  <si>
    <t xml:space="preserve">Target count</t>
  </si>
  <si>
    <t xml:space="preserve">What it covers (write your own claims; don't copy these descriptions as claims)</t>
  </si>
  <si>
    <t xml:space="preserve">NC1 Generic unqualified term</t>
  </si>
  <si>
    <t xml:space="preserve">Words like eco-friendly, green, sustainable, natural with no qualifier or evidence</t>
  </si>
  <si>
    <t xml:space="preserve">NC2 Organic on the wrong fibre or blend</t>
  </si>
  <si>
    <t xml:space="preserve">'Organic' on bamboo viscose or lyocell, or on a blend below the GOTS 95% grade</t>
  </si>
  <si>
    <t xml:space="preserve">NC3 Certification without proof</t>
  </si>
  <si>
    <t xml:space="preserve">Naming GOTS or 'certified' with no licence number or certifier</t>
  </si>
  <si>
    <t xml:space="preserve">NC4 Absolute claim</t>
  </si>
  <si>
    <t xml:space="preserve">'Chemical-free', '100% sustainable', 'zero impact' and similar</t>
  </si>
  <si>
    <t xml:space="preserve">NC5 Unsubstantiated performance or health</t>
  </si>
  <si>
    <t xml:space="preserve">Skin, allergy or comfort promises with no test evidence</t>
  </si>
  <si>
    <t xml:space="preserve">NC6 Comparative or superlative</t>
  </si>
  <si>
    <t xml:space="preserve">'First', 'only', 'most', 'better than [category]' without substantiation</t>
  </si>
  <si>
    <t xml:space="preserve">NC7 Unclear scope</t>
  </si>
  <si>
    <t xml:space="preserve">Claim that doesn't say whether it covers product, packaging or part of either</t>
  </si>
  <si>
    <t xml:space="preserve">NC8 Future or aspirational without a plan</t>
  </si>
  <si>
    <t xml:space="preserve">'Carbon neutral by …' with no published plan</t>
  </si>
  <si>
    <t xml:space="preserve">NC9 AI or endorsement</t>
  </si>
  <si>
    <t xml:space="preserve">Fabricated testimonial, review or endorsement</t>
  </si>
  <si>
    <t xml:space="preserve">C1 Correct GOTS 'organic' claim</t>
  </si>
  <si>
    <t xml:space="preserve">Meets the ≥95% grade, names the certifier and licence number, clear scope</t>
  </si>
  <si>
    <t xml:space="preserve">C2 Correct 'made with X% organic'</t>
  </si>
  <si>
    <t xml:space="preserve">Meets the ≥70% grade, states the percentage</t>
  </si>
  <si>
    <t xml:space="preserve">C3 Factual fibre composition</t>
  </si>
  <si>
    <t xml:space="preserve">Plain composition or care statements</t>
  </si>
  <si>
    <t xml:space="preserve">C4 Scoped, evidenced claim</t>
  </si>
  <si>
    <t xml:space="preserve">Specific, verifiable, scope stated, disclosure via QR or link</t>
  </si>
  <si>
    <t xml:space="preserve">C5 Non-environmental factual claim</t>
  </si>
  <si>
    <t xml:space="preserve">Fit, size, alteration or return-policy statements that are true and checkable</t>
  </si>
  <si>
    <t xml:space="preserve">Total</t>
  </si>
  <si>
    <t xml:space="preserve">Aim for about half non-compliant (NC) and half compliant (C)</t>
  </si>
  <si>
    <t xml:space="preserve">term</t>
  </si>
  <si>
    <t xml:space="preserve">geo</t>
  </si>
  <si>
    <t xml:space="preserve">period</t>
  </si>
  <si>
    <t xml:space="preserve">frequency</t>
  </si>
  <si>
    <t xml:space="preserve">file name to save</t>
  </si>
  <si>
    <t xml:space="preserve">date exported</t>
  </si>
  <si>
    <t xml:space="preserve">rows (weeks)</t>
  </si>
  <si>
    <t xml:space="preserve">kurta for men</t>
  </si>
  <si>
    <t xml:space="preserve">India</t>
  </si>
  <si>
    <t xml:space="preserve">Past 5 years</t>
  </si>
  <si>
    <t xml:space="preserve">Weekly</t>
  </si>
  <si>
    <t xml:space="preserve">trends_kurta_for_men.csv</t>
  </si>
  <si>
    <t xml:space="preserve">sherwani</t>
  </si>
  <si>
    <t xml:space="preserve">trends_sherwani.csv</t>
  </si>
  <si>
    <t xml:space="preserve">linen kurta</t>
  </si>
  <si>
    <t xml:space="preserve">trends_linen_kurta.csv</t>
  </si>
  <si>
    <t xml:space="preserve">organic cotton</t>
  </si>
  <si>
    <t xml:space="preserve">trends_organic_cotton.csv</t>
  </si>
  <si>
    <t xml:space="preserve">wedding outfit for men</t>
  </si>
  <si>
    <t xml:space="preserve">trends_wedding_outfit_for_men.csv</t>
  </si>
  <si>
    <t xml:space="preserve">month</t>
  </si>
  <si>
    <t xml:space="preserve">source 1 (name + link)</t>
  </si>
  <si>
    <t xml:space="preserve">auspicious dates: source 1</t>
  </si>
  <si>
    <t xml:space="preserve">source 2 (name + link)</t>
  </si>
  <si>
    <t xml:space="preserve">auspicious dates: source 2</t>
  </si>
  <si>
    <t xml:space="preserve">difference</t>
  </si>
  <si>
    <t xml:space="preserve">flag</t>
  </si>
  <si>
    <t xml:space="preserve">Oct 2026</t>
  </si>
  <si>
    <t xml:space="preserve">Nov 2026</t>
  </si>
  <si>
    <t xml:space="preserve">Dec 2026</t>
  </si>
  <si>
    <t xml:space="preserve">Jan 2027</t>
  </si>
  <si>
    <t xml:space="preserve">Feb 2027</t>
  </si>
  <si>
    <t xml:space="preserve">Mar 2027</t>
  </si>
  <si>
    <t xml:space="preserve">Apr 2027</t>
  </si>
  <si>
    <t xml:space="preserve">May 2027</t>
  </si>
  <si>
    <t xml:space="preserve">Jun 2027</t>
  </si>
  <si>
    <t xml:space="preserve">Jul 2027</t>
  </si>
  <si>
    <t xml:space="preserve">Aug 2027</t>
  </si>
  <si>
    <t xml:space="preserve">Sep 2027</t>
  </si>
  <si>
    <t xml:space="preserve">Oct 2027</t>
  </si>
  <si>
    <t xml:space="preserve">Nov 2027</t>
  </si>
  <si>
    <t xml:space="preserve">Dec 2027</t>
  </si>
  <si>
    <t xml:space="preserve">Jan 2028</t>
  </si>
  <si>
    <t xml:space="preserve">Feb 2028</t>
  </si>
  <si>
    <t xml:space="preserve">Mar 2028</t>
  </si>
  <si>
    <t xml:space="preserve">Apr 2028</t>
  </si>
  <si>
    <t xml:space="preserve">May 2028</t>
  </si>
  <si>
    <t xml:space="preserve">Jun 2028</t>
  </si>
  <si>
    <t xml:space="preserve">Jul 2028</t>
  </si>
  <si>
    <t xml:space="preserve">Aug 2028</t>
  </si>
  <si>
    <t xml:space="preserve">Sep 2028</t>
  </si>
  <si>
    <t xml:space="preserve">Item</t>
  </si>
  <si>
    <t xml:space="preserve">Count so far</t>
  </si>
  <si>
    <t xml:space="preserve">Pass mark</t>
  </si>
  <si>
    <t xml:space="preserve">Status</t>
  </si>
  <si>
    <t xml:space="preserve">Price audit: SKUs</t>
  </si>
  <si>
    <t xml:space="preserve">Price audit: brands covered</t>
  </si>
  <si>
    <t xml:space="preserve">Reviews: Manyavar</t>
  </si>
  <si>
    <t xml:space="preserve">Reviews: Fabindia</t>
  </si>
  <si>
    <t xml:space="preserve">Reviews: Tasva</t>
  </si>
  <si>
    <t xml:space="preserve">Reviews: Ethnix</t>
  </si>
  <si>
    <t xml:space="preserve">Reviews: total</t>
  </si>
  <si>
    <t xml:space="preserve">Reviews tagged Hinglish or Hindi</t>
  </si>
  <si>
    <t xml:space="preserve">report</t>
  </si>
  <si>
    <t xml:space="preserve">Test reviews labelled</t>
  </si>
  <si>
    <t xml:space="preserve">Guardrail claims written</t>
  </si>
  <si>
    <t xml:space="preserve">Guardrail claims: non-compliant share</t>
  </si>
  <si>
    <t xml:space="preserve">~50%</t>
  </si>
  <si>
    <t xml:space="preserve">Guardrail claims: classmate agreement</t>
  </si>
  <si>
    <t xml:space="preserve">Trends CSVs exported</t>
  </si>
  <si>
    <t xml:space="preserve">Wedding calendar months filled (both sources)</t>
  </si>
</sst>
</file>

<file path=xl/styles.xml><?xml version="1.0" encoding="utf-8"?>
<styleSheet xmlns="http://schemas.openxmlformats.org/spreadsheetml/2006/main">
  <numFmts count="3">
    <numFmt numFmtId="164" formatCode="General"/>
    <numFmt numFmtId="165" formatCode="0.0%"/>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0"/>
      <color rgb="FFFFFFFF"/>
      <name val="Arial"/>
      <family val="0"/>
      <charset val="1"/>
    </font>
    <font>
      <i val="true"/>
      <sz val="10"/>
      <color rgb="FF808080"/>
      <name val="Arial"/>
      <family val="0"/>
      <charset val="1"/>
    </font>
    <font>
      <sz val="10"/>
      <name val="Arial"/>
      <family val="2"/>
    </font>
  </fonts>
  <fills count="5">
    <fill>
      <patternFill patternType="none"/>
    </fill>
    <fill>
      <patternFill patternType="gray125"/>
    </fill>
    <fill>
      <patternFill patternType="solid">
        <fgColor rgb="FF2F4F3E"/>
        <bgColor rgb="FF333300"/>
      </patternFill>
    </fill>
    <fill>
      <patternFill patternType="solid">
        <fgColor rgb="FFEFEFEF"/>
        <bgColor rgb="FFFFF2CC"/>
      </patternFill>
    </fill>
    <fill>
      <patternFill patternType="solid">
        <fgColor rgb="FFFFF2CC"/>
        <bgColor rgb="FFEFEFEF"/>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FEF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4F3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6.15" hidden="false" customHeight="false" outlineLevel="0" collapsed="false">
      <c r="A1" s="1" t="s">
        <v>0</v>
      </c>
      <c r="B1" s="2"/>
    </row>
    <row r="2" customFormat="false" ht="23.85" hidden="false" customHeight="false" outlineLevel="0" collapsed="false">
      <c r="A2" s="3" t="s">
        <v>1</v>
      </c>
      <c r="B2" s="2" t="s">
        <v>2</v>
      </c>
    </row>
    <row r="3" customFormat="false" ht="23.85" hidden="false" customHeight="false" outlineLevel="0" collapsed="false">
      <c r="A3" s="3" t="s">
        <v>3</v>
      </c>
      <c r="B3" s="2" t="s">
        <v>4</v>
      </c>
    </row>
    <row r="4" customFormat="false" ht="23.85" hidden="false" customHeight="false" outlineLevel="0" collapsed="false">
      <c r="A4" s="3" t="s">
        <v>5</v>
      </c>
      <c r="B4" s="2" t="s">
        <v>6</v>
      </c>
    </row>
    <row r="5" customFormat="false" ht="15" hidden="false" customHeight="false" outlineLevel="0" collapsed="false">
      <c r="A5" s="3" t="s">
        <v>7</v>
      </c>
      <c r="B5" s="2" t="s">
        <v>8</v>
      </c>
    </row>
    <row r="6" customFormat="false" ht="23.85" hidden="false" customHeight="false" outlineLevel="0" collapsed="false">
      <c r="A6" s="3" t="s">
        <v>9</v>
      </c>
      <c r="B6" s="2" t="s">
        <v>10</v>
      </c>
    </row>
    <row r="7" customFormat="false" ht="35.05" hidden="false" customHeight="false" outlineLevel="0" collapsed="false">
      <c r="A7" s="3" t="s">
        <v>11</v>
      </c>
      <c r="B7" s="2"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34"/>
    <col collapsed="false" customWidth="true" hidden="false" outlineLevel="0" max="4" min="4" style="0" width="12"/>
    <col collapsed="false" customWidth="true" hidden="false" outlineLevel="0" max="5" min="5" style="0" width="26"/>
    <col collapsed="false" customWidth="true" hidden="false" outlineLevel="0" max="6" min="6" style="0" width="30"/>
    <col collapsed="false" customWidth="true" hidden="false" outlineLevel="0" max="7" min="7" style="0" width="11"/>
    <col collapsed="false" customWidth="true" hidden="false" outlineLevel="0" max="8" min="8" style="0" width="12"/>
    <col collapsed="false" customWidth="true" hidden="false" outlineLevel="0" max="9" min="9" style="0" width="10"/>
    <col collapsed="false" customWidth="true" hidden="false" outlineLevel="0" max="10" min="10" style="0" width="26"/>
    <col collapsed="false" customWidth="true" hidden="false" outlineLevel="0" max="11" min="11" style="0" width="36"/>
    <col collapsed="false" customWidth="true" hidden="false" outlineLevel="0" max="12" min="12" style="0" width="12"/>
    <col collapsed="false" customWidth="true" hidden="false" outlineLevel="0" max="13" min="13" style="0" width="26"/>
  </cols>
  <sheetData>
    <row r="1" customFormat="false" ht="31.5" hidden="false" customHeight="true" outlineLevel="0" collapsed="false">
      <c r="A1" s="4" t="s">
        <v>13</v>
      </c>
      <c r="B1" s="4" t="s">
        <v>14</v>
      </c>
      <c r="C1" s="4" t="s">
        <v>15</v>
      </c>
      <c r="D1" s="4" t="s">
        <v>16</v>
      </c>
      <c r="E1" s="4" t="s">
        <v>17</v>
      </c>
      <c r="F1" s="4" t="s">
        <v>18</v>
      </c>
      <c r="G1" s="4" t="s">
        <v>19</v>
      </c>
      <c r="H1" s="4" t="s">
        <v>20</v>
      </c>
      <c r="I1" s="4" t="s">
        <v>21</v>
      </c>
      <c r="J1" s="4" t="s">
        <v>22</v>
      </c>
      <c r="K1" s="4" t="s">
        <v>23</v>
      </c>
      <c r="L1" s="4" t="s">
        <v>24</v>
      </c>
      <c r="M1" s="4" t="s">
        <v>25</v>
      </c>
    </row>
    <row r="2" customFormat="false" ht="15" hidden="false" customHeight="false" outlineLevel="0" collapsed="false">
      <c r="A2" s="5" t="s">
        <v>26</v>
      </c>
      <c r="B2" s="5" t="s">
        <v>27</v>
      </c>
      <c r="C2" s="5" t="s">
        <v>28</v>
      </c>
      <c r="D2" s="5" t="s">
        <v>29</v>
      </c>
      <c r="E2" s="5" t="s">
        <v>30</v>
      </c>
      <c r="F2" s="5" t="s">
        <v>31</v>
      </c>
      <c r="G2" s="5" t="n">
        <v>3999</v>
      </c>
      <c r="H2" s="5" t="n">
        <v>3599</v>
      </c>
      <c r="I2" s="6" t="n">
        <f aca="false">IF(G2&gt;0,1-H2/G2,"")</f>
        <v>0.100025006251563</v>
      </c>
      <c r="J2" s="5" t="s">
        <v>32</v>
      </c>
      <c r="K2" s="5" t="s">
        <v>33</v>
      </c>
      <c r="L2" s="5" t="s">
        <v>34</v>
      </c>
      <c r="M2" s="5" t="s">
        <v>35</v>
      </c>
    </row>
    <row r="3" customFormat="false" ht="15" hidden="false" customHeight="false" outlineLevel="0" collapsed="false">
      <c r="A3" s="7" t="s">
        <v>36</v>
      </c>
      <c r="B3" s="8"/>
      <c r="C3" s="8"/>
      <c r="D3" s="8"/>
      <c r="E3" s="8"/>
      <c r="F3" s="8"/>
      <c r="G3" s="8"/>
      <c r="H3" s="8"/>
      <c r="I3" s="9" t="str">
        <f aca="false">IF(AND(ISNUMBER(G3),G3&gt;0,ISNUMBER(H3)),1-H3/G3,"")</f>
        <v/>
      </c>
      <c r="J3" s="8"/>
      <c r="K3" s="8"/>
      <c r="L3" s="8"/>
    </row>
    <row r="4" customFormat="false" ht="15" hidden="false" customHeight="false" outlineLevel="0" collapsed="false">
      <c r="A4" s="7" t="s">
        <v>37</v>
      </c>
      <c r="B4" s="8"/>
      <c r="C4" s="8"/>
      <c r="D4" s="8"/>
      <c r="E4" s="8"/>
      <c r="F4" s="8"/>
      <c r="G4" s="8"/>
      <c r="H4" s="8"/>
      <c r="I4" s="9" t="str">
        <f aca="false">IF(AND(ISNUMBER(G4),G4&gt;0,ISNUMBER(H4)),1-H4/G4,"")</f>
        <v/>
      </c>
      <c r="J4" s="8"/>
      <c r="K4" s="8"/>
      <c r="L4" s="8"/>
    </row>
    <row r="5" customFormat="false" ht="15" hidden="false" customHeight="false" outlineLevel="0" collapsed="false">
      <c r="A5" s="7" t="s">
        <v>38</v>
      </c>
      <c r="B5" s="8"/>
      <c r="C5" s="8"/>
      <c r="D5" s="8"/>
      <c r="E5" s="8"/>
      <c r="F5" s="8"/>
      <c r="G5" s="8"/>
      <c r="H5" s="8"/>
      <c r="I5" s="9" t="str">
        <f aca="false">IF(AND(ISNUMBER(G5),G5&gt;0,ISNUMBER(H5)),1-H5/G5,"")</f>
        <v/>
      </c>
      <c r="J5" s="8"/>
      <c r="K5" s="8"/>
      <c r="L5" s="8"/>
    </row>
    <row r="6" customFormat="false" ht="15" hidden="false" customHeight="false" outlineLevel="0" collapsed="false">
      <c r="A6" s="7" t="s">
        <v>39</v>
      </c>
      <c r="B6" s="8"/>
      <c r="C6" s="8"/>
      <c r="D6" s="8"/>
      <c r="E6" s="8"/>
      <c r="F6" s="8"/>
      <c r="G6" s="8"/>
      <c r="H6" s="8"/>
      <c r="I6" s="9" t="str">
        <f aca="false">IF(AND(ISNUMBER(G6),G6&gt;0,ISNUMBER(H6)),1-H6/G6,"")</f>
        <v/>
      </c>
      <c r="J6" s="8"/>
      <c r="K6" s="8"/>
      <c r="L6" s="8"/>
    </row>
    <row r="7" customFormat="false" ht="15" hidden="false" customHeight="false" outlineLevel="0" collapsed="false">
      <c r="A7" s="7" t="s">
        <v>40</v>
      </c>
      <c r="B7" s="8"/>
      <c r="C7" s="8"/>
      <c r="D7" s="8"/>
      <c r="E7" s="8"/>
      <c r="F7" s="8"/>
      <c r="G7" s="8"/>
      <c r="H7" s="8"/>
      <c r="I7" s="9" t="str">
        <f aca="false">IF(AND(ISNUMBER(G7),G7&gt;0,ISNUMBER(H7)),1-H7/G7,"")</f>
        <v/>
      </c>
      <c r="J7" s="8"/>
      <c r="K7" s="8"/>
      <c r="L7" s="8"/>
    </row>
    <row r="8" customFormat="false" ht="15" hidden="false" customHeight="false" outlineLevel="0" collapsed="false">
      <c r="A8" s="7" t="s">
        <v>41</v>
      </c>
      <c r="B8" s="8"/>
      <c r="C8" s="8"/>
      <c r="D8" s="8"/>
      <c r="E8" s="8"/>
      <c r="F8" s="8"/>
      <c r="G8" s="8"/>
      <c r="H8" s="8"/>
      <c r="I8" s="9" t="str">
        <f aca="false">IF(AND(ISNUMBER(G8),G8&gt;0,ISNUMBER(H8)),1-H8/G8,"")</f>
        <v/>
      </c>
      <c r="J8" s="8"/>
      <c r="K8" s="8"/>
      <c r="L8" s="8"/>
    </row>
    <row r="9" customFormat="false" ht="15" hidden="false" customHeight="false" outlineLevel="0" collapsed="false">
      <c r="A9" s="7" t="s">
        <v>42</v>
      </c>
      <c r="B9" s="8"/>
      <c r="C9" s="8"/>
      <c r="D9" s="8"/>
      <c r="E9" s="8"/>
      <c r="F9" s="8"/>
      <c r="G9" s="8"/>
      <c r="H9" s="8"/>
      <c r="I9" s="9" t="str">
        <f aca="false">IF(AND(ISNUMBER(G9),G9&gt;0,ISNUMBER(H9)),1-H9/G9,"")</f>
        <v/>
      </c>
      <c r="J9" s="8"/>
      <c r="K9" s="8"/>
      <c r="L9" s="8"/>
    </row>
    <row r="10" customFormat="false" ht="15" hidden="false" customHeight="false" outlineLevel="0" collapsed="false">
      <c r="A10" s="7" t="s">
        <v>43</v>
      </c>
      <c r="B10" s="8"/>
      <c r="C10" s="8"/>
      <c r="D10" s="8"/>
      <c r="E10" s="8"/>
      <c r="F10" s="8"/>
      <c r="G10" s="8"/>
      <c r="H10" s="8"/>
      <c r="I10" s="9" t="str">
        <f aca="false">IF(AND(ISNUMBER(G10),G10&gt;0,ISNUMBER(H10)),1-H10/G10,"")</f>
        <v/>
      </c>
      <c r="J10" s="8"/>
      <c r="K10" s="8"/>
      <c r="L10" s="8"/>
    </row>
    <row r="11" customFormat="false" ht="15" hidden="false" customHeight="false" outlineLevel="0" collapsed="false">
      <c r="A11" s="7" t="s">
        <v>44</v>
      </c>
      <c r="B11" s="8"/>
      <c r="C11" s="8"/>
      <c r="D11" s="8"/>
      <c r="E11" s="8"/>
      <c r="F11" s="8"/>
      <c r="G11" s="8"/>
      <c r="H11" s="8"/>
      <c r="I11" s="9" t="str">
        <f aca="false">IF(AND(ISNUMBER(G11),G11&gt;0,ISNUMBER(H11)),1-H11/G11,"")</f>
        <v/>
      </c>
      <c r="J11" s="8"/>
      <c r="K11" s="8"/>
      <c r="L11" s="8"/>
    </row>
    <row r="12" customFormat="false" ht="15" hidden="false" customHeight="false" outlineLevel="0" collapsed="false">
      <c r="A12" s="7" t="s">
        <v>45</v>
      </c>
      <c r="B12" s="8"/>
      <c r="C12" s="8"/>
      <c r="D12" s="8"/>
      <c r="E12" s="8"/>
      <c r="F12" s="8"/>
      <c r="G12" s="8"/>
      <c r="H12" s="8"/>
      <c r="I12" s="9" t="str">
        <f aca="false">IF(AND(ISNUMBER(G12),G12&gt;0,ISNUMBER(H12)),1-H12/G12,"")</f>
        <v/>
      </c>
      <c r="J12" s="8"/>
      <c r="K12" s="8"/>
      <c r="L12" s="8"/>
    </row>
    <row r="13" customFormat="false" ht="15" hidden="false" customHeight="false" outlineLevel="0" collapsed="false">
      <c r="A13" s="7" t="s">
        <v>46</v>
      </c>
      <c r="B13" s="8"/>
      <c r="C13" s="8"/>
      <c r="D13" s="8"/>
      <c r="E13" s="8"/>
      <c r="F13" s="8"/>
      <c r="G13" s="8"/>
      <c r="H13" s="8"/>
      <c r="I13" s="9" t="str">
        <f aca="false">IF(AND(ISNUMBER(G13),G13&gt;0,ISNUMBER(H13)),1-H13/G13,"")</f>
        <v/>
      </c>
      <c r="J13" s="8"/>
      <c r="K13" s="8"/>
      <c r="L13" s="8"/>
    </row>
    <row r="14" customFormat="false" ht="15" hidden="false" customHeight="false" outlineLevel="0" collapsed="false">
      <c r="A14" s="7" t="s">
        <v>47</v>
      </c>
      <c r="B14" s="8"/>
      <c r="C14" s="8"/>
      <c r="D14" s="8"/>
      <c r="E14" s="8"/>
      <c r="F14" s="8"/>
      <c r="G14" s="8"/>
      <c r="H14" s="8"/>
      <c r="I14" s="9" t="str">
        <f aca="false">IF(AND(ISNUMBER(G14),G14&gt;0,ISNUMBER(H14)),1-H14/G14,"")</f>
        <v/>
      </c>
      <c r="J14" s="8"/>
      <c r="K14" s="8"/>
      <c r="L14" s="8"/>
    </row>
    <row r="15" customFormat="false" ht="15" hidden="false" customHeight="false" outlineLevel="0" collapsed="false">
      <c r="A15" s="7" t="s">
        <v>48</v>
      </c>
      <c r="B15" s="8"/>
      <c r="C15" s="8"/>
      <c r="D15" s="8"/>
      <c r="E15" s="8"/>
      <c r="F15" s="8"/>
      <c r="G15" s="8"/>
      <c r="H15" s="8"/>
      <c r="I15" s="9" t="str">
        <f aca="false">IF(AND(ISNUMBER(G15),G15&gt;0,ISNUMBER(H15)),1-H15/G15,"")</f>
        <v/>
      </c>
      <c r="J15" s="8"/>
      <c r="K15" s="8"/>
      <c r="L15" s="8"/>
    </row>
    <row r="16" customFormat="false" ht="15" hidden="false" customHeight="false" outlineLevel="0" collapsed="false">
      <c r="A16" s="7" t="s">
        <v>49</v>
      </c>
      <c r="B16" s="8"/>
      <c r="C16" s="8"/>
      <c r="D16" s="8"/>
      <c r="E16" s="8"/>
      <c r="F16" s="8"/>
      <c r="G16" s="8"/>
      <c r="H16" s="8"/>
      <c r="I16" s="9" t="str">
        <f aca="false">IF(AND(ISNUMBER(G16),G16&gt;0,ISNUMBER(H16)),1-H16/G16,"")</f>
        <v/>
      </c>
      <c r="J16" s="8"/>
      <c r="K16" s="8"/>
      <c r="L16" s="8"/>
    </row>
    <row r="17" customFormat="false" ht="15" hidden="false" customHeight="false" outlineLevel="0" collapsed="false">
      <c r="A17" s="7" t="s">
        <v>50</v>
      </c>
      <c r="B17" s="8"/>
      <c r="C17" s="8"/>
      <c r="D17" s="8"/>
      <c r="E17" s="8"/>
      <c r="F17" s="8"/>
      <c r="G17" s="8"/>
      <c r="H17" s="8"/>
      <c r="I17" s="9" t="str">
        <f aca="false">IF(AND(ISNUMBER(G17),G17&gt;0,ISNUMBER(H17)),1-H17/G17,"")</f>
        <v/>
      </c>
      <c r="J17" s="8"/>
      <c r="K17" s="8"/>
      <c r="L17" s="8"/>
    </row>
    <row r="18" customFormat="false" ht="15" hidden="false" customHeight="false" outlineLevel="0" collapsed="false">
      <c r="A18" s="7" t="s">
        <v>51</v>
      </c>
      <c r="B18" s="8"/>
      <c r="C18" s="8"/>
      <c r="D18" s="8"/>
      <c r="E18" s="8"/>
      <c r="F18" s="8"/>
      <c r="G18" s="8"/>
      <c r="H18" s="8"/>
      <c r="I18" s="9" t="str">
        <f aca="false">IF(AND(ISNUMBER(G18),G18&gt;0,ISNUMBER(H18)),1-H18/G18,"")</f>
        <v/>
      </c>
      <c r="J18" s="8"/>
      <c r="K18" s="8"/>
      <c r="L18" s="8"/>
    </row>
    <row r="19" customFormat="false" ht="15" hidden="false" customHeight="false" outlineLevel="0" collapsed="false">
      <c r="A19" s="7" t="s">
        <v>52</v>
      </c>
      <c r="B19" s="8"/>
      <c r="C19" s="8"/>
      <c r="D19" s="8"/>
      <c r="E19" s="8"/>
      <c r="F19" s="8"/>
      <c r="G19" s="8"/>
      <c r="H19" s="8"/>
      <c r="I19" s="9" t="str">
        <f aca="false">IF(AND(ISNUMBER(G19),G19&gt;0,ISNUMBER(H19)),1-H19/G19,"")</f>
        <v/>
      </c>
      <c r="J19" s="8"/>
      <c r="K19" s="8"/>
      <c r="L19" s="8"/>
    </row>
    <row r="20" customFormat="false" ht="15" hidden="false" customHeight="false" outlineLevel="0" collapsed="false">
      <c r="A20" s="7" t="s">
        <v>53</v>
      </c>
      <c r="B20" s="8"/>
      <c r="C20" s="8"/>
      <c r="D20" s="8"/>
      <c r="E20" s="8"/>
      <c r="F20" s="8"/>
      <c r="G20" s="8"/>
      <c r="H20" s="8"/>
      <c r="I20" s="9" t="str">
        <f aca="false">IF(AND(ISNUMBER(G20),G20&gt;0,ISNUMBER(H20)),1-H20/G20,"")</f>
        <v/>
      </c>
      <c r="J20" s="8"/>
      <c r="K20" s="8"/>
      <c r="L20" s="8"/>
    </row>
    <row r="21" customFormat="false" ht="15" hidden="false" customHeight="false" outlineLevel="0" collapsed="false">
      <c r="A21" s="7" t="s">
        <v>54</v>
      </c>
      <c r="B21" s="8"/>
      <c r="C21" s="8"/>
      <c r="D21" s="8"/>
      <c r="E21" s="8"/>
      <c r="F21" s="8"/>
      <c r="G21" s="8"/>
      <c r="H21" s="8"/>
      <c r="I21" s="9" t="str">
        <f aca="false">IF(AND(ISNUMBER(G21),G21&gt;0,ISNUMBER(H21)),1-H21/G21,"")</f>
        <v/>
      </c>
      <c r="J21" s="8"/>
      <c r="K21" s="8"/>
      <c r="L21" s="8"/>
    </row>
    <row r="22" customFormat="false" ht="15" hidden="false" customHeight="false" outlineLevel="0" collapsed="false">
      <c r="A22" s="7" t="s">
        <v>55</v>
      </c>
      <c r="B22" s="8"/>
      <c r="C22" s="8"/>
      <c r="D22" s="8"/>
      <c r="E22" s="8"/>
      <c r="F22" s="8"/>
      <c r="G22" s="8"/>
      <c r="H22" s="8"/>
      <c r="I22" s="9" t="str">
        <f aca="false">IF(AND(ISNUMBER(G22),G22&gt;0,ISNUMBER(H22)),1-H22/G22,"")</f>
        <v/>
      </c>
      <c r="J22" s="8"/>
      <c r="K22" s="8"/>
      <c r="L22" s="8"/>
    </row>
    <row r="23" customFormat="false" ht="15" hidden="false" customHeight="false" outlineLevel="0" collapsed="false">
      <c r="A23" s="7" t="s">
        <v>56</v>
      </c>
      <c r="B23" s="8"/>
      <c r="C23" s="8"/>
      <c r="D23" s="8"/>
      <c r="E23" s="8"/>
      <c r="F23" s="8"/>
      <c r="G23" s="8"/>
      <c r="H23" s="8"/>
      <c r="I23" s="9" t="str">
        <f aca="false">IF(AND(ISNUMBER(G23),G23&gt;0,ISNUMBER(H23)),1-H23/G23,"")</f>
        <v/>
      </c>
      <c r="J23" s="8"/>
      <c r="K23" s="8"/>
      <c r="L23" s="8"/>
    </row>
    <row r="24" customFormat="false" ht="15" hidden="false" customHeight="false" outlineLevel="0" collapsed="false">
      <c r="A24" s="7" t="s">
        <v>57</v>
      </c>
      <c r="B24" s="8"/>
      <c r="C24" s="8"/>
      <c r="D24" s="8"/>
      <c r="E24" s="8"/>
      <c r="F24" s="8"/>
      <c r="G24" s="8"/>
      <c r="H24" s="8"/>
      <c r="I24" s="9" t="str">
        <f aca="false">IF(AND(ISNUMBER(G24),G24&gt;0,ISNUMBER(H24)),1-H24/G24,"")</f>
        <v/>
      </c>
      <c r="J24" s="8"/>
      <c r="K24" s="8"/>
      <c r="L24" s="8"/>
    </row>
    <row r="25" customFormat="false" ht="15" hidden="false" customHeight="false" outlineLevel="0" collapsed="false">
      <c r="A25" s="7" t="s">
        <v>58</v>
      </c>
      <c r="B25" s="8"/>
      <c r="C25" s="8"/>
      <c r="D25" s="8"/>
      <c r="E25" s="8"/>
      <c r="F25" s="8"/>
      <c r="G25" s="8"/>
      <c r="H25" s="8"/>
      <c r="I25" s="9" t="str">
        <f aca="false">IF(AND(ISNUMBER(G25),G25&gt;0,ISNUMBER(H25)),1-H25/G25,"")</f>
        <v/>
      </c>
      <c r="J25" s="8"/>
      <c r="K25" s="8"/>
      <c r="L25" s="8"/>
    </row>
    <row r="26" customFormat="false" ht="15" hidden="false" customHeight="false" outlineLevel="0" collapsed="false">
      <c r="A26" s="7" t="s">
        <v>59</v>
      </c>
      <c r="B26" s="8"/>
      <c r="C26" s="8"/>
      <c r="D26" s="8"/>
      <c r="E26" s="8"/>
      <c r="F26" s="8"/>
      <c r="G26" s="8"/>
      <c r="H26" s="8"/>
      <c r="I26" s="9" t="str">
        <f aca="false">IF(AND(ISNUMBER(G26),G26&gt;0,ISNUMBER(H26)),1-H26/G26,"")</f>
        <v/>
      </c>
      <c r="J26" s="8"/>
      <c r="K26" s="8"/>
      <c r="L26" s="8"/>
    </row>
    <row r="27" customFormat="false" ht="15" hidden="false" customHeight="false" outlineLevel="0" collapsed="false">
      <c r="A27" s="7" t="s">
        <v>60</v>
      </c>
      <c r="B27" s="8"/>
      <c r="C27" s="8"/>
      <c r="D27" s="8"/>
      <c r="E27" s="8"/>
      <c r="F27" s="8"/>
      <c r="G27" s="8"/>
      <c r="H27" s="8"/>
      <c r="I27" s="9" t="str">
        <f aca="false">IF(AND(ISNUMBER(G27),G27&gt;0,ISNUMBER(H27)),1-H27/G27,"")</f>
        <v/>
      </c>
      <c r="J27" s="8"/>
      <c r="K27" s="8"/>
      <c r="L27" s="8"/>
    </row>
    <row r="28" customFormat="false" ht="15" hidden="false" customHeight="false" outlineLevel="0" collapsed="false">
      <c r="A28" s="7" t="s">
        <v>61</v>
      </c>
      <c r="B28" s="8"/>
      <c r="C28" s="8"/>
      <c r="D28" s="8"/>
      <c r="E28" s="8"/>
      <c r="F28" s="8"/>
      <c r="G28" s="8"/>
      <c r="H28" s="8"/>
      <c r="I28" s="9" t="str">
        <f aca="false">IF(AND(ISNUMBER(G28),G28&gt;0,ISNUMBER(H28)),1-H28/G28,"")</f>
        <v/>
      </c>
      <c r="J28" s="8"/>
      <c r="K28" s="8"/>
      <c r="L28" s="8"/>
    </row>
    <row r="29" customFormat="false" ht="15" hidden="false" customHeight="false" outlineLevel="0" collapsed="false">
      <c r="A29" s="7" t="s">
        <v>62</v>
      </c>
      <c r="B29" s="8"/>
      <c r="C29" s="8"/>
      <c r="D29" s="8"/>
      <c r="E29" s="8"/>
      <c r="F29" s="8"/>
      <c r="G29" s="8"/>
      <c r="H29" s="8"/>
      <c r="I29" s="9" t="str">
        <f aca="false">IF(AND(ISNUMBER(G29),G29&gt;0,ISNUMBER(H29)),1-H29/G29,"")</f>
        <v/>
      </c>
      <c r="J29" s="8"/>
      <c r="K29" s="8"/>
      <c r="L29" s="8"/>
    </row>
    <row r="30" customFormat="false" ht="15" hidden="false" customHeight="false" outlineLevel="0" collapsed="false">
      <c r="A30" s="7" t="s">
        <v>63</v>
      </c>
      <c r="B30" s="8"/>
      <c r="C30" s="8"/>
      <c r="D30" s="8"/>
      <c r="E30" s="8"/>
      <c r="F30" s="8"/>
      <c r="G30" s="8"/>
      <c r="H30" s="8"/>
      <c r="I30" s="9" t="str">
        <f aca="false">IF(AND(ISNUMBER(G30),G30&gt;0,ISNUMBER(H30)),1-H30/G30,"")</f>
        <v/>
      </c>
      <c r="J30" s="8"/>
      <c r="K30" s="8"/>
      <c r="L30" s="8"/>
    </row>
    <row r="31" customFormat="false" ht="15" hidden="false" customHeight="false" outlineLevel="0" collapsed="false">
      <c r="A31" s="7" t="s">
        <v>64</v>
      </c>
      <c r="B31" s="8"/>
      <c r="C31" s="8"/>
      <c r="D31" s="8"/>
      <c r="E31" s="8"/>
      <c r="F31" s="8"/>
      <c r="G31" s="8"/>
      <c r="H31" s="8"/>
      <c r="I31" s="9" t="str">
        <f aca="false">IF(AND(ISNUMBER(G31),G31&gt;0,ISNUMBER(H31)),1-H31/G31,"")</f>
        <v/>
      </c>
      <c r="J31" s="8"/>
      <c r="K31" s="8"/>
      <c r="L31" s="8"/>
    </row>
    <row r="32" customFormat="false" ht="15" hidden="false" customHeight="false" outlineLevel="0" collapsed="false">
      <c r="A32" s="7" t="s">
        <v>65</v>
      </c>
      <c r="B32" s="8"/>
      <c r="C32" s="8"/>
      <c r="D32" s="8"/>
      <c r="E32" s="8"/>
      <c r="F32" s="8"/>
      <c r="G32" s="8"/>
      <c r="H32" s="8"/>
      <c r="I32" s="9" t="str">
        <f aca="false">IF(AND(ISNUMBER(G32),G32&gt;0,ISNUMBER(H32)),1-H32/G32,"")</f>
        <v/>
      </c>
      <c r="J32" s="8"/>
      <c r="K32" s="8"/>
      <c r="L32" s="8"/>
    </row>
    <row r="33" customFormat="false" ht="15" hidden="false" customHeight="false" outlineLevel="0" collapsed="false">
      <c r="A33" s="7" t="s">
        <v>66</v>
      </c>
      <c r="B33" s="8"/>
      <c r="C33" s="8"/>
      <c r="D33" s="8"/>
      <c r="E33" s="8"/>
      <c r="F33" s="8"/>
      <c r="G33" s="8"/>
      <c r="H33" s="8"/>
      <c r="I33" s="9" t="str">
        <f aca="false">IF(AND(ISNUMBER(G33),G33&gt;0,ISNUMBER(H33)),1-H33/G33,"")</f>
        <v/>
      </c>
      <c r="J33" s="8"/>
      <c r="K33" s="8"/>
      <c r="L33" s="8"/>
    </row>
    <row r="34" customFormat="false" ht="15" hidden="false" customHeight="false" outlineLevel="0" collapsed="false">
      <c r="A34" s="7" t="s">
        <v>67</v>
      </c>
      <c r="B34" s="8"/>
      <c r="C34" s="8"/>
      <c r="D34" s="8"/>
      <c r="E34" s="8"/>
      <c r="F34" s="8"/>
      <c r="G34" s="8"/>
      <c r="H34" s="8"/>
      <c r="I34" s="9" t="str">
        <f aca="false">IF(AND(ISNUMBER(G34),G34&gt;0,ISNUMBER(H34)),1-H34/G34,"")</f>
        <v/>
      </c>
      <c r="J34" s="8"/>
      <c r="K34" s="8"/>
      <c r="L34" s="8"/>
    </row>
    <row r="35" customFormat="false" ht="15" hidden="false" customHeight="false" outlineLevel="0" collapsed="false">
      <c r="A35" s="7" t="s">
        <v>68</v>
      </c>
      <c r="B35" s="8"/>
      <c r="C35" s="8"/>
      <c r="D35" s="8"/>
      <c r="E35" s="8"/>
      <c r="F35" s="8"/>
      <c r="G35" s="8"/>
      <c r="H35" s="8"/>
      <c r="I35" s="9" t="str">
        <f aca="false">IF(AND(ISNUMBER(G35),G35&gt;0,ISNUMBER(H35)),1-H35/G35,"")</f>
        <v/>
      </c>
      <c r="J35" s="8"/>
      <c r="K35" s="8"/>
      <c r="L35" s="8"/>
    </row>
    <row r="36" customFormat="false" ht="15" hidden="false" customHeight="false" outlineLevel="0" collapsed="false">
      <c r="A36" s="7" t="s">
        <v>69</v>
      </c>
      <c r="B36" s="8"/>
      <c r="C36" s="8"/>
      <c r="D36" s="8"/>
      <c r="E36" s="8"/>
      <c r="F36" s="8"/>
      <c r="G36" s="8"/>
      <c r="H36" s="8"/>
      <c r="I36" s="9" t="str">
        <f aca="false">IF(AND(ISNUMBER(G36),G36&gt;0,ISNUMBER(H36)),1-H36/G36,"")</f>
        <v/>
      </c>
      <c r="J36" s="8"/>
      <c r="K36" s="8"/>
      <c r="L36" s="8"/>
    </row>
    <row r="37" customFormat="false" ht="15" hidden="false" customHeight="false" outlineLevel="0" collapsed="false">
      <c r="A37" s="7" t="s">
        <v>70</v>
      </c>
      <c r="B37" s="8"/>
      <c r="C37" s="8"/>
      <c r="D37" s="8"/>
      <c r="E37" s="8"/>
      <c r="F37" s="8"/>
      <c r="G37" s="8"/>
      <c r="H37" s="8"/>
      <c r="I37" s="9" t="str">
        <f aca="false">IF(AND(ISNUMBER(G37),G37&gt;0,ISNUMBER(H37)),1-H37/G37,"")</f>
        <v/>
      </c>
      <c r="J37" s="8"/>
      <c r="K37" s="8"/>
      <c r="L37" s="8"/>
    </row>
    <row r="38" customFormat="false" ht="15" hidden="false" customHeight="false" outlineLevel="0" collapsed="false">
      <c r="A38" s="7" t="s">
        <v>71</v>
      </c>
      <c r="B38" s="8"/>
      <c r="C38" s="8"/>
      <c r="D38" s="8"/>
      <c r="E38" s="8"/>
      <c r="F38" s="8"/>
      <c r="G38" s="8"/>
      <c r="H38" s="8"/>
      <c r="I38" s="9" t="str">
        <f aca="false">IF(AND(ISNUMBER(G38),G38&gt;0,ISNUMBER(H38)),1-H38/G38,"")</f>
        <v/>
      </c>
      <c r="J38" s="8"/>
      <c r="K38" s="8"/>
      <c r="L38" s="8"/>
    </row>
    <row r="39" customFormat="false" ht="15" hidden="false" customHeight="false" outlineLevel="0" collapsed="false">
      <c r="A39" s="7" t="s">
        <v>72</v>
      </c>
      <c r="B39" s="8"/>
      <c r="C39" s="8"/>
      <c r="D39" s="8"/>
      <c r="E39" s="8"/>
      <c r="F39" s="8"/>
      <c r="G39" s="8"/>
      <c r="H39" s="8"/>
      <c r="I39" s="9" t="str">
        <f aca="false">IF(AND(ISNUMBER(G39),G39&gt;0,ISNUMBER(H39)),1-H39/G39,"")</f>
        <v/>
      </c>
      <c r="J39" s="8"/>
      <c r="K39" s="8"/>
      <c r="L39" s="8"/>
    </row>
    <row r="40" customFormat="false" ht="15" hidden="false" customHeight="false" outlineLevel="0" collapsed="false">
      <c r="A40" s="7" t="s">
        <v>73</v>
      </c>
      <c r="B40" s="8"/>
      <c r="C40" s="8"/>
      <c r="D40" s="8"/>
      <c r="E40" s="8"/>
      <c r="F40" s="8"/>
      <c r="G40" s="8"/>
      <c r="H40" s="8"/>
      <c r="I40" s="9" t="str">
        <f aca="false">IF(AND(ISNUMBER(G40),G40&gt;0,ISNUMBER(H40)),1-H40/G40,"")</f>
        <v/>
      </c>
      <c r="J40" s="8"/>
      <c r="K40" s="8"/>
      <c r="L40" s="8"/>
    </row>
    <row r="41" customFormat="false" ht="15" hidden="false" customHeight="false" outlineLevel="0" collapsed="false">
      <c r="A41" s="7" t="s">
        <v>74</v>
      </c>
      <c r="B41" s="8"/>
      <c r="C41" s="8"/>
      <c r="D41" s="8"/>
      <c r="E41" s="8"/>
      <c r="F41" s="8"/>
      <c r="G41" s="8"/>
      <c r="H41" s="8"/>
      <c r="I41" s="9" t="str">
        <f aca="false">IF(AND(ISNUMBER(G41),G41&gt;0,ISNUMBER(H41)),1-H41/G41,"")</f>
        <v/>
      </c>
      <c r="J41" s="8"/>
      <c r="K41" s="8"/>
      <c r="L41" s="8"/>
    </row>
    <row r="42" customFormat="false" ht="15" hidden="false" customHeight="false" outlineLevel="0" collapsed="false">
      <c r="A42" s="7" t="s">
        <v>75</v>
      </c>
      <c r="B42" s="8"/>
      <c r="C42" s="8"/>
      <c r="D42" s="8"/>
      <c r="E42" s="8"/>
      <c r="F42" s="8"/>
      <c r="G42" s="8"/>
      <c r="H42" s="8"/>
      <c r="I42" s="9" t="str">
        <f aca="false">IF(AND(ISNUMBER(G42),G42&gt;0,ISNUMBER(H42)),1-H42/G42,"")</f>
        <v/>
      </c>
      <c r="J42" s="8"/>
      <c r="K42" s="8"/>
      <c r="L42" s="8"/>
    </row>
    <row r="43" customFormat="false" ht="15" hidden="false" customHeight="false" outlineLevel="0" collapsed="false">
      <c r="A43" s="7" t="s">
        <v>76</v>
      </c>
      <c r="B43" s="8"/>
      <c r="C43" s="8"/>
      <c r="D43" s="8"/>
      <c r="E43" s="8"/>
      <c r="F43" s="8"/>
      <c r="G43" s="8"/>
      <c r="H43" s="8"/>
      <c r="I43" s="9" t="str">
        <f aca="false">IF(AND(ISNUMBER(G43),G43&gt;0,ISNUMBER(H43)),1-H43/G43,"")</f>
        <v/>
      </c>
      <c r="J43" s="8"/>
      <c r="K43" s="8"/>
      <c r="L43" s="8"/>
    </row>
    <row r="44" customFormat="false" ht="15" hidden="false" customHeight="false" outlineLevel="0" collapsed="false">
      <c r="A44" s="7" t="s">
        <v>77</v>
      </c>
      <c r="B44" s="8"/>
      <c r="C44" s="8"/>
      <c r="D44" s="8"/>
      <c r="E44" s="8"/>
      <c r="F44" s="8"/>
      <c r="G44" s="8"/>
      <c r="H44" s="8"/>
      <c r="I44" s="9" t="str">
        <f aca="false">IF(AND(ISNUMBER(G44),G44&gt;0,ISNUMBER(H44)),1-H44/G44,"")</f>
        <v/>
      </c>
      <c r="J44" s="8"/>
      <c r="K44" s="8"/>
      <c r="L44" s="8"/>
    </row>
    <row r="45" customFormat="false" ht="15" hidden="false" customHeight="false" outlineLevel="0" collapsed="false">
      <c r="A45" s="7" t="s">
        <v>78</v>
      </c>
      <c r="B45" s="8"/>
      <c r="C45" s="8"/>
      <c r="D45" s="8"/>
      <c r="E45" s="8"/>
      <c r="F45" s="8"/>
      <c r="G45" s="8"/>
      <c r="H45" s="8"/>
      <c r="I45" s="9" t="str">
        <f aca="false">IF(AND(ISNUMBER(G45),G45&gt;0,ISNUMBER(H45)),1-H45/G45,"")</f>
        <v/>
      </c>
      <c r="J45" s="8"/>
      <c r="K45" s="8"/>
      <c r="L45" s="8"/>
    </row>
    <row r="46" customFormat="false" ht="15" hidden="false" customHeight="false" outlineLevel="0" collapsed="false">
      <c r="A46" s="7" t="s">
        <v>79</v>
      </c>
      <c r="B46" s="8"/>
      <c r="C46" s="8"/>
      <c r="D46" s="8"/>
      <c r="E46" s="8"/>
      <c r="F46" s="8"/>
      <c r="G46" s="8"/>
      <c r="H46" s="8"/>
      <c r="I46" s="9" t="str">
        <f aca="false">IF(AND(ISNUMBER(G46),G46&gt;0,ISNUMBER(H46)),1-H46/G46,"")</f>
        <v/>
      </c>
      <c r="J46" s="8"/>
      <c r="K46" s="8"/>
      <c r="L46" s="8"/>
    </row>
    <row r="47" customFormat="false" ht="15" hidden="false" customHeight="false" outlineLevel="0" collapsed="false">
      <c r="A47" s="7" t="s">
        <v>80</v>
      </c>
      <c r="B47" s="8"/>
      <c r="C47" s="8"/>
      <c r="D47" s="8"/>
      <c r="E47" s="8"/>
      <c r="F47" s="8"/>
      <c r="G47" s="8"/>
      <c r="H47" s="8"/>
      <c r="I47" s="9" t="str">
        <f aca="false">IF(AND(ISNUMBER(G47),G47&gt;0,ISNUMBER(H47)),1-H47/G47,"")</f>
        <v/>
      </c>
      <c r="J47" s="8"/>
      <c r="K47" s="8"/>
      <c r="L47" s="8"/>
    </row>
    <row r="48" customFormat="false" ht="15" hidden="false" customHeight="false" outlineLevel="0" collapsed="false">
      <c r="A48" s="7" t="s">
        <v>81</v>
      </c>
      <c r="B48" s="8"/>
      <c r="C48" s="8"/>
      <c r="D48" s="8"/>
      <c r="E48" s="8"/>
      <c r="F48" s="8"/>
      <c r="G48" s="8"/>
      <c r="H48" s="8"/>
      <c r="I48" s="9" t="str">
        <f aca="false">IF(AND(ISNUMBER(G48),G48&gt;0,ISNUMBER(H48)),1-H48/G48,"")</f>
        <v/>
      </c>
      <c r="J48" s="8"/>
      <c r="K48" s="8"/>
      <c r="L48" s="8"/>
    </row>
    <row r="49" customFormat="false" ht="15" hidden="false" customHeight="false" outlineLevel="0" collapsed="false">
      <c r="A49" s="7" t="s">
        <v>82</v>
      </c>
      <c r="B49" s="8"/>
      <c r="C49" s="8"/>
      <c r="D49" s="8"/>
      <c r="E49" s="8"/>
      <c r="F49" s="8"/>
      <c r="G49" s="8"/>
      <c r="H49" s="8"/>
      <c r="I49" s="9" t="str">
        <f aca="false">IF(AND(ISNUMBER(G49),G49&gt;0,ISNUMBER(H49)),1-H49/G49,"")</f>
        <v/>
      </c>
      <c r="J49" s="8"/>
      <c r="K49" s="8"/>
      <c r="L49" s="8"/>
    </row>
    <row r="50" customFormat="false" ht="15" hidden="false" customHeight="false" outlineLevel="0" collapsed="false">
      <c r="A50" s="7" t="s">
        <v>83</v>
      </c>
      <c r="B50" s="8"/>
      <c r="C50" s="8"/>
      <c r="D50" s="8"/>
      <c r="E50" s="8"/>
      <c r="F50" s="8"/>
      <c r="G50" s="8"/>
      <c r="H50" s="8"/>
      <c r="I50" s="9" t="str">
        <f aca="false">IF(AND(ISNUMBER(G50),G50&gt;0,ISNUMBER(H50)),1-H50/G50,"")</f>
        <v/>
      </c>
      <c r="J50" s="8"/>
      <c r="K50" s="8"/>
      <c r="L50" s="8"/>
    </row>
    <row r="51" customFormat="false" ht="15" hidden="false" customHeight="false" outlineLevel="0" collapsed="false">
      <c r="A51" s="7" t="s">
        <v>84</v>
      </c>
      <c r="B51" s="8"/>
      <c r="C51" s="8"/>
      <c r="D51" s="8"/>
      <c r="E51" s="8"/>
      <c r="F51" s="8"/>
      <c r="G51" s="8"/>
      <c r="H51" s="8"/>
      <c r="I51" s="9" t="str">
        <f aca="false">IF(AND(ISNUMBER(G51),G51&gt;0,ISNUMBER(H51)),1-H51/G51,"")</f>
        <v/>
      </c>
      <c r="J51" s="8"/>
      <c r="K51" s="8"/>
      <c r="L51" s="8"/>
    </row>
    <row r="52" customFormat="false" ht="15" hidden="false" customHeight="false" outlineLevel="0" collapsed="false">
      <c r="A52" s="7" t="s">
        <v>85</v>
      </c>
      <c r="B52" s="8"/>
      <c r="C52" s="8"/>
      <c r="D52" s="8"/>
      <c r="E52" s="8"/>
      <c r="F52" s="8"/>
      <c r="G52" s="8"/>
      <c r="H52" s="8"/>
      <c r="I52" s="9" t="str">
        <f aca="false">IF(AND(ISNUMBER(G52),G52&gt;0,ISNUMBER(H52)),1-H52/G52,"")</f>
        <v/>
      </c>
      <c r="J52" s="8"/>
      <c r="K52" s="8"/>
      <c r="L52" s="8"/>
    </row>
    <row r="53" customFormat="false" ht="15" hidden="false" customHeight="false" outlineLevel="0" collapsed="false">
      <c r="A53" s="7" t="s">
        <v>86</v>
      </c>
      <c r="B53" s="8"/>
      <c r="C53" s="8"/>
      <c r="D53" s="8"/>
      <c r="E53" s="8"/>
      <c r="F53" s="8"/>
      <c r="G53" s="8"/>
      <c r="H53" s="8"/>
      <c r="I53" s="9" t="str">
        <f aca="false">IF(AND(ISNUMBER(G53),G53&gt;0,ISNUMBER(H53)),1-H53/G53,"")</f>
        <v/>
      </c>
      <c r="J53" s="8"/>
      <c r="K53" s="8"/>
      <c r="L53" s="8"/>
    </row>
    <row r="54" customFormat="false" ht="15" hidden="false" customHeight="false" outlineLevel="0" collapsed="false">
      <c r="A54" s="7" t="s">
        <v>87</v>
      </c>
      <c r="B54" s="8"/>
      <c r="C54" s="8"/>
      <c r="D54" s="8"/>
      <c r="E54" s="8"/>
      <c r="F54" s="8"/>
      <c r="G54" s="8"/>
      <c r="H54" s="8"/>
      <c r="I54" s="9" t="str">
        <f aca="false">IF(AND(ISNUMBER(G54),G54&gt;0,ISNUMBER(H54)),1-H54/G54,"")</f>
        <v/>
      </c>
      <c r="J54" s="8"/>
      <c r="K54" s="8"/>
      <c r="L54" s="8"/>
    </row>
    <row r="55" customFormat="false" ht="15" hidden="false" customHeight="false" outlineLevel="0" collapsed="false">
      <c r="A55" s="7" t="s">
        <v>88</v>
      </c>
      <c r="B55" s="8"/>
      <c r="C55" s="8"/>
      <c r="D55" s="8"/>
      <c r="E55" s="8"/>
      <c r="F55" s="8"/>
      <c r="G55" s="8"/>
      <c r="H55" s="8"/>
      <c r="I55" s="9" t="str">
        <f aca="false">IF(AND(ISNUMBER(G55),G55&gt;0,ISNUMBER(H55)),1-H55/G55,"")</f>
        <v/>
      </c>
      <c r="J55" s="8"/>
      <c r="K55" s="8"/>
      <c r="L55" s="8"/>
    </row>
    <row r="56" customFormat="false" ht="15" hidden="false" customHeight="false" outlineLevel="0" collapsed="false">
      <c r="A56" s="7" t="s">
        <v>89</v>
      </c>
      <c r="B56" s="8"/>
      <c r="C56" s="8"/>
      <c r="D56" s="8"/>
      <c r="E56" s="8"/>
      <c r="F56" s="8"/>
      <c r="G56" s="8"/>
      <c r="H56" s="8"/>
      <c r="I56" s="9" t="str">
        <f aca="false">IF(AND(ISNUMBER(G56),G56&gt;0,ISNUMBER(H56)),1-H56/G56,"")</f>
        <v/>
      </c>
      <c r="J56" s="8"/>
      <c r="K56" s="8"/>
      <c r="L56" s="8"/>
    </row>
    <row r="57" customFormat="false" ht="15" hidden="false" customHeight="false" outlineLevel="0" collapsed="false">
      <c r="A57" s="7" t="s">
        <v>90</v>
      </c>
      <c r="B57" s="8"/>
      <c r="C57" s="8"/>
      <c r="D57" s="8"/>
      <c r="E57" s="8"/>
      <c r="F57" s="8"/>
      <c r="G57" s="8"/>
      <c r="H57" s="8"/>
      <c r="I57" s="9" t="str">
        <f aca="false">IF(AND(ISNUMBER(G57),G57&gt;0,ISNUMBER(H57)),1-H57/G57,"")</f>
        <v/>
      </c>
      <c r="J57" s="8"/>
      <c r="K57" s="8"/>
      <c r="L57" s="8"/>
    </row>
    <row r="58" customFormat="false" ht="15" hidden="false" customHeight="false" outlineLevel="0" collapsed="false">
      <c r="A58" s="7" t="s">
        <v>91</v>
      </c>
      <c r="B58" s="8"/>
      <c r="C58" s="8"/>
      <c r="D58" s="8"/>
      <c r="E58" s="8"/>
      <c r="F58" s="8"/>
      <c r="G58" s="8"/>
      <c r="H58" s="8"/>
      <c r="I58" s="9" t="str">
        <f aca="false">IF(AND(ISNUMBER(G58),G58&gt;0,ISNUMBER(H58)),1-H58/G58,"")</f>
        <v/>
      </c>
      <c r="J58" s="8"/>
      <c r="K58" s="8"/>
      <c r="L58" s="8"/>
    </row>
    <row r="59" customFormat="false" ht="15" hidden="false" customHeight="false" outlineLevel="0" collapsed="false">
      <c r="A59" s="7" t="s">
        <v>92</v>
      </c>
      <c r="B59" s="8"/>
      <c r="C59" s="8"/>
      <c r="D59" s="8"/>
      <c r="E59" s="8"/>
      <c r="F59" s="8"/>
      <c r="G59" s="8"/>
      <c r="H59" s="8"/>
      <c r="I59" s="9" t="str">
        <f aca="false">IF(AND(ISNUMBER(G59),G59&gt;0,ISNUMBER(H59)),1-H59/G59,"")</f>
        <v/>
      </c>
      <c r="J59" s="8"/>
      <c r="K59" s="8"/>
      <c r="L59" s="8"/>
    </row>
    <row r="60" customFormat="false" ht="15" hidden="false" customHeight="false" outlineLevel="0" collapsed="false">
      <c r="A60" s="7" t="s">
        <v>93</v>
      </c>
      <c r="B60" s="8"/>
      <c r="C60" s="8"/>
      <c r="D60" s="8"/>
      <c r="E60" s="8"/>
      <c r="F60" s="8"/>
      <c r="G60" s="8"/>
      <c r="H60" s="8"/>
      <c r="I60" s="9" t="str">
        <f aca="false">IF(AND(ISNUMBER(G60),G60&gt;0,ISNUMBER(H60)),1-H60/G60,"")</f>
        <v/>
      </c>
      <c r="J60" s="8"/>
      <c r="K60" s="8"/>
      <c r="L60" s="8"/>
    </row>
    <row r="61" customFormat="false" ht="15" hidden="false" customHeight="false" outlineLevel="0" collapsed="false">
      <c r="A61" s="7" t="s">
        <v>94</v>
      </c>
      <c r="B61" s="8"/>
      <c r="C61" s="8"/>
      <c r="D61" s="8"/>
      <c r="E61" s="8"/>
      <c r="F61" s="8"/>
      <c r="G61" s="8"/>
      <c r="H61" s="8"/>
      <c r="I61" s="9" t="str">
        <f aca="false">IF(AND(ISNUMBER(G61),G61&gt;0,ISNUMBER(H61)),1-H61/G61,"")</f>
        <v/>
      </c>
      <c r="J61" s="8"/>
      <c r="K61" s="8"/>
      <c r="L61" s="8"/>
    </row>
    <row r="62" customFormat="false" ht="15" hidden="false" customHeight="false" outlineLevel="0" collapsed="false">
      <c r="A62" s="7" t="s">
        <v>95</v>
      </c>
      <c r="B62" s="8"/>
      <c r="C62" s="8"/>
      <c r="D62" s="8"/>
      <c r="E62" s="8"/>
      <c r="F62" s="8"/>
      <c r="G62" s="8"/>
      <c r="H62" s="8"/>
      <c r="I62" s="9" t="str">
        <f aca="false">IF(AND(ISNUMBER(G62),G62&gt;0,ISNUMBER(H62)),1-H62/G62,"")</f>
        <v/>
      </c>
      <c r="J62" s="8"/>
      <c r="K62" s="8"/>
      <c r="L62" s="8"/>
    </row>
    <row r="63" customFormat="false" ht="15" hidden="false" customHeight="false" outlineLevel="0" collapsed="false">
      <c r="A63" s="7" t="s">
        <v>96</v>
      </c>
      <c r="B63" s="8"/>
      <c r="C63" s="8"/>
      <c r="D63" s="8"/>
      <c r="E63" s="8"/>
      <c r="F63" s="8"/>
      <c r="G63" s="8"/>
      <c r="H63" s="8"/>
      <c r="I63" s="9" t="str">
        <f aca="false">IF(AND(ISNUMBER(G63),G63&gt;0,ISNUMBER(H63)),1-H63/G63,"")</f>
        <v/>
      </c>
      <c r="J63" s="8"/>
      <c r="K63" s="8"/>
      <c r="L63" s="8"/>
    </row>
    <row r="64" customFormat="false" ht="15" hidden="false" customHeight="false" outlineLevel="0" collapsed="false">
      <c r="A64" s="7" t="s">
        <v>97</v>
      </c>
      <c r="B64" s="8"/>
      <c r="C64" s="8"/>
      <c r="D64" s="8"/>
      <c r="E64" s="8"/>
      <c r="F64" s="8"/>
      <c r="G64" s="8"/>
      <c r="H64" s="8"/>
      <c r="I64" s="9" t="str">
        <f aca="false">IF(AND(ISNUMBER(G64),G64&gt;0,ISNUMBER(H64)),1-H64/G64,"")</f>
        <v/>
      </c>
      <c r="J64" s="8"/>
      <c r="K64" s="8"/>
      <c r="L64" s="8"/>
    </row>
    <row r="65" customFormat="false" ht="15" hidden="false" customHeight="false" outlineLevel="0" collapsed="false">
      <c r="A65" s="7" t="s">
        <v>98</v>
      </c>
      <c r="B65" s="8"/>
      <c r="C65" s="8"/>
      <c r="D65" s="8"/>
      <c r="E65" s="8"/>
      <c r="F65" s="8"/>
      <c r="G65" s="8"/>
      <c r="H65" s="8"/>
      <c r="I65" s="9" t="str">
        <f aca="false">IF(AND(ISNUMBER(G65),G65&gt;0,ISNUMBER(H65)),1-H65/G65,"")</f>
        <v/>
      </c>
      <c r="J65" s="8"/>
      <c r="K65" s="8"/>
      <c r="L65" s="8"/>
    </row>
    <row r="66" customFormat="false" ht="15" hidden="false" customHeight="false" outlineLevel="0" collapsed="false">
      <c r="A66" s="7" t="s">
        <v>99</v>
      </c>
      <c r="B66" s="8"/>
      <c r="C66" s="8"/>
      <c r="D66" s="8"/>
      <c r="E66" s="8"/>
      <c r="F66" s="8"/>
      <c r="G66" s="8"/>
      <c r="H66" s="8"/>
      <c r="I66" s="9" t="str">
        <f aca="false">IF(AND(ISNUMBER(G66),G66&gt;0,ISNUMBER(H66)),1-H66/G66,"")</f>
        <v/>
      </c>
      <c r="J66" s="8"/>
      <c r="K66" s="8"/>
      <c r="L66" s="8"/>
    </row>
    <row r="67" customFormat="false" ht="15" hidden="false" customHeight="false" outlineLevel="0" collapsed="false">
      <c r="A67" s="7" t="s">
        <v>100</v>
      </c>
      <c r="B67" s="8"/>
      <c r="C67" s="8"/>
      <c r="D67" s="8"/>
      <c r="E67" s="8"/>
      <c r="F67" s="8"/>
      <c r="G67" s="8"/>
      <c r="H67" s="8"/>
      <c r="I67" s="9" t="str">
        <f aca="false">IF(AND(ISNUMBER(G67),G67&gt;0,ISNUMBER(H67)),1-H67/G67,"")</f>
        <v/>
      </c>
      <c r="J67" s="8"/>
      <c r="K67" s="8"/>
      <c r="L67" s="8"/>
    </row>
    <row r="68" customFormat="false" ht="15" hidden="false" customHeight="false" outlineLevel="0" collapsed="false">
      <c r="A68" s="7" t="s">
        <v>101</v>
      </c>
      <c r="B68" s="8"/>
      <c r="C68" s="8"/>
      <c r="D68" s="8"/>
      <c r="E68" s="8"/>
      <c r="F68" s="8"/>
      <c r="G68" s="8"/>
      <c r="H68" s="8"/>
      <c r="I68" s="9" t="str">
        <f aca="false">IF(AND(ISNUMBER(G68),G68&gt;0,ISNUMBER(H68)),1-H68/G68,"")</f>
        <v/>
      </c>
      <c r="J68" s="8"/>
      <c r="K68" s="8"/>
      <c r="L68" s="8"/>
    </row>
    <row r="69" customFormat="false" ht="15" hidden="false" customHeight="false" outlineLevel="0" collapsed="false">
      <c r="A69" s="7" t="s">
        <v>102</v>
      </c>
      <c r="B69" s="8"/>
      <c r="C69" s="8"/>
      <c r="D69" s="8"/>
      <c r="E69" s="8"/>
      <c r="F69" s="8"/>
      <c r="G69" s="8"/>
      <c r="H69" s="8"/>
      <c r="I69" s="9" t="str">
        <f aca="false">IF(AND(ISNUMBER(G69),G69&gt;0,ISNUMBER(H69)),1-H69/G69,"")</f>
        <v/>
      </c>
      <c r="J69" s="8"/>
      <c r="K69" s="8"/>
      <c r="L69" s="8"/>
    </row>
    <row r="70" customFormat="false" ht="15" hidden="false" customHeight="false" outlineLevel="0" collapsed="false">
      <c r="A70" s="7" t="s">
        <v>103</v>
      </c>
      <c r="B70" s="8"/>
      <c r="C70" s="8"/>
      <c r="D70" s="8"/>
      <c r="E70" s="8"/>
      <c r="F70" s="8"/>
      <c r="G70" s="8"/>
      <c r="H70" s="8"/>
      <c r="I70" s="9" t="str">
        <f aca="false">IF(AND(ISNUMBER(G70),G70&gt;0,ISNUMBER(H70)),1-H70/G70,"")</f>
        <v/>
      </c>
      <c r="J70" s="8"/>
      <c r="K70" s="8"/>
      <c r="L70" s="8"/>
    </row>
    <row r="71" customFormat="false" ht="15" hidden="false" customHeight="false" outlineLevel="0" collapsed="false">
      <c r="A71" s="7" t="s">
        <v>104</v>
      </c>
      <c r="B71" s="8"/>
      <c r="C71" s="8"/>
      <c r="D71" s="8"/>
      <c r="E71" s="8"/>
      <c r="F71" s="8"/>
      <c r="G71" s="8"/>
      <c r="H71" s="8"/>
      <c r="I71" s="9" t="str">
        <f aca="false">IF(AND(ISNUMBER(G71),G71&gt;0,ISNUMBER(H71)),1-H71/G71,"")</f>
        <v/>
      </c>
      <c r="J71" s="8"/>
      <c r="K71" s="8"/>
      <c r="L71" s="8"/>
    </row>
    <row r="72" customFormat="false" ht="15" hidden="false" customHeight="false" outlineLevel="0" collapsed="false">
      <c r="A72" s="7" t="s">
        <v>105</v>
      </c>
      <c r="B72" s="8"/>
      <c r="C72" s="8"/>
      <c r="D72" s="8"/>
      <c r="E72" s="8"/>
      <c r="F72" s="8"/>
      <c r="G72" s="8"/>
      <c r="H72" s="8"/>
      <c r="I72" s="9" t="str">
        <f aca="false">IF(AND(ISNUMBER(G72),G72&gt;0,ISNUMBER(H72)),1-H72/G72,"")</f>
        <v/>
      </c>
      <c r="J72" s="8"/>
      <c r="K72" s="8"/>
      <c r="L72" s="8"/>
    </row>
    <row r="73" customFormat="false" ht="15" hidden="false" customHeight="false" outlineLevel="0" collapsed="false">
      <c r="A73" s="7" t="s">
        <v>106</v>
      </c>
      <c r="B73" s="8"/>
      <c r="C73" s="8"/>
      <c r="D73" s="8"/>
      <c r="E73" s="8"/>
      <c r="F73" s="8"/>
      <c r="G73" s="8"/>
      <c r="H73" s="8"/>
      <c r="I73" s="9" t="str">
        <f aca="false">IF(AND(ISNUMBER(G73),G73&gt;0,ISNUMBER(H73)),1-H73/G73,"")</f>
        <v/>
      </c>
      <c r="J73" s="8"/>
      <c r="K73" s="8"/>
      <c r="L73" s="8"/>
    </row>
    <row r="74" customFormat="false" ht="15" hidden="false" customHeight="false" outlineLevel="0" collapsed="false">
      <c r="A74" s="7" t="s">
        <v>107</v>
      </c>
      <c r="B74" s="8"/>
      <c r="C74" s="8"/>
      <c r="D74" s="8"/>
      <c r="E74" s="8"/>
      <c r="F74" s="8"/>
      <c r="G74" s="8"/>
      <c r="H74" s="8"/>
      <c r="I74" s="9" t="str">
        <f aca="false">IF(AND(ISNUMBER(G74),G74&gt;0,ISNUMBER(H74)),1-H74/G74,"")</f>
        <v/>
      </c>
      <c r="J74" s="8"/>
      <c r="K74" s="8"/>
      <c r="L74" s="8"/>
    </row>
    <row r="75" customFormat="false" ht="15" hidden="false" customHeight="false" outlineLevel="0" collapsed="false">
      <c r="A75" s="7" t="s">
        <v>108</v>
      </c>
      <c r="B75" s="8"/>
      <c r="C75" s="8"/>
      <c r="D75" s="8"/>
      <c r="E75" s="8"/>
      <c r="F75" s="8"/>
      <c r="G75" s="8"/>
      <c r="H75" s="8"/>
      <c r="I75" s="9" t="str">
        <f aca="false">IF(AND(ISNUMBER(G75),G75&gt;0,ISNUMBER(H75)),1-H75/G75,"")</f>
        <v/>
      </c>
      <c r="J75" s="8"/>
      <c r="K75" s="8"/>
      <c r="L75" s="8"/>
    </row>
    <row r="76" customFormat="false" ht="15" hidden="false" customHeight="false" outlineLevel="0" collapsed="false">
      <c r="A76" s="7" t="s">
        <v>109</v>
      </c>
      <c r="B76" s="8"/>
      <c r="C76" s="8"/>
      <c r="D76" s="8"/>
      <c r="E76" s="8"/>
      <c r="F76" s="8"/>
      <c r="G76" s="8"/>
      <c r="H76" s="8"/>
      <c r="I76" s="9" t="str">
        <f aca="false">IF(AND(ISNUMBER(G76),G76&gt;0,ISNUMBER(H76)),1-H76/G76,"")</f>
        <v/>
      </c>
      <c r="J76" s="8"/>
      <c r="K76" s="8"/>
      <c r="L76" s="8"/>
    </row>
    <row r="77" customFormat="false" ht="15" hidden="false" customHeight="false" outlineLevel="0" collapsed="false">
      <c r="A77" s="7" t="s">
        <v>110</v>
      </c>
      <c r="B77" s="8"/>
      <c r="C77" s="8"/>
      <c r="D77" s="8"/>
      <c r="E77" s="8"/>
      <c r="F77" s="8"/>
      <c r="G77" s="8"/>
      <c r="H77" s="8"/>
      <c r="I77" s="9" t="str">
        <f aca="false">IF(AND(ISNUMBER(G77),G77&gt;0,ISNUMBER(H77)),1-H77/G77,"")</f>
        <v/>
      </c>
      <c r="J77" s="8"/>
      <c r="K77" s="8"/>
      <c r="L77" s="8"/>
    </row>
    <row r="78" customFormat="false" ht="15" hidden="false" customHeight="false" outlineLevel="0" collapsed="false">
      <c r="A78" s="7" t="s">
        <v>111</v>
      </c>
      <c r="B78" s="8"/>
      <c r="C78" s="8"/>
      <c r="D78" s="8"/>
      <c r="E78" s="8"/>
      <c r="F78" s="8"/>
      <c r="G78" s="8"/>
      <c r="H78" s="8"/>
      <c r="I78" s="9" t="str">
        <f aca="false">IF(AND(ISNUMBER(G78),G78&gt;0,ISNUMBER(H78)),1-H78/G78,"")</f>
        <v/>
      </c>
      <c r="J78" s="8"/>
      <c r="K78" s="8"/>
      <c r="L78" s="8"/>
    </row>
    <row r="79" customFormat="false" ht="15" hidden="false" customHeight="false" outlineLevel="0" collapsed="false">
      <c r="A79" s="7" t="s">
        <v>112</v>
      </c>
      <c r="B79" s="8"/>
      <c r="C79" s="8"/>
      <c r="D79" s="8"/>
      <c r="E79" s="8"/>
      <c r="F79" s="8"/>
      <c r="G79" s="8"/>
      <c r="H79" s="8"/>
      <c r="I79" s="9" t="str">
        <f aca="false">IF(AND(ISNUMBER(G79),G79&gt;0,ISNUMBER(H79)),1-H79/G79,"")</f>
        <v/>
      </c>
      <c r="J79" s="8"/>
      <c r="K79" s="8"/>
      <c r="L79" s="8"/>
    </row>
    <row r="80" customFormat="false" ht="15" hidden="false" customHeight="false" outlineLevel="0" collapsed="false">
      <c r="A80" s="7" t="s">
        <v>113</v>
      </c>
      <c r="B80" s="8"/>
      <c r="C80" s="8"/>
      <c r="D80" s="8"/>
      <c r="E80" s="8"/>
      <c r="F80" s="8"/>
      <c r="G80" s="8"/>
      <c r="H80" s="8"/>
      <c r="I80" s="9" t="str">
        <f aca="false">IF(AND(ISNUMBER(G80),G80&gt;0,ISNUMBER(H80)),1-H80/G80,"")</f>
        <v/>
      </c>
      <c r="J80" s="8"/>
      <c r="K80" s="8"/>
      <c r="L80" s="8"/>
    </row>
  </sheetData>
  <dataValidations count="2">
    <dataValidation allowBlank="true" errorStyle="stop" operator="between" showDropDown="false" showErrorMessage="false" showInputMessage="false" sqref="B2:B80" type="list">
      <formula1>"Manyavar,Tasva,Fabindia,Ethnix,Kisah,Sojanya,Isha Life,Bhusattva,No Nasties,Other"</formula1>
      <formula2>0</formula2>
    </dataValidation>
    <dataValidation allowBlank="true" errorStyle="stop" operator="between" showDropDown="false" showErrorMessage="false" showInputMessage="false" sqref="D2:D80" type="list">
      <formula1>"everyday,festive,ceremonial"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30"/>
    <col collapsed="false" customWidth="true" hidden="false" outlineLevel="0" max="4" min="4" style="0" width="20"/>
    <col collapsed="false" customWidth="true" hidden="false" outlineLevel="0" max="5" min="5" style="0" width="8"/>
    <col collapsed="false" customWidth="true" hidden="false" outlineLevel="0" max="6" min="6" style="0" width="70"/>
    <col collapsed="false" customWidth="true" hidden="false" outlineLevel="0" max="8" min="7" style="0" width="12"/>
    <col collapsed="false" customWidth="true" hidden="false" outlineLevel="0" max="9" min="9" style="0" width="14"/>
    <col collapsed="false" customWidth="true" hidden="false" outlineLevel="0" max="10" min="10" style="0" width="12"/>
  </cols>
  <sheetData>
    <row r="1" customFormat="false" ht="31.5" hidden="false" customHeight="true" outlineLevel="0" collapsed="false">
      <c r="A1" s="4" t="s">
        <v>114</v>
      </c>
      <c r="B1" s="4" t="s">
        <v>14</v>
      </c>
      <c r="C1" s="4" t="s">
        <v>15</v>
      </c>
      <c r="D1" s="4" t="s">
        <v>115</v>
      </c>
      <c r="E1" s="4" t="s">
        <v>116</v>
      </c>
      <c r="F1" s="4" t="s">
        <v>117</v>
      </c>
      <c r="G1" s="4" t="s">
        <v>118</v>
      </c>
      <c r="H1" s="4" t="s">
        <v>119</v>
      </c>
      <c r="I1" s="4" t="s">
        <v>120</v>
      </c>
      <c r="J1" s="4" t="s">
        <v>24</v>
      </c>
    </row>
    <row r="2" customFormat="false" ht="15" hidden="false" customHeight="false" outlineLevel="0" collapsed="false">
      <c r="A2" s="5" t="s">
        <v>121</v>
      </c>
      <c r="B2" s="5" t="s">
        <v>122</v>
      </c>
      <c r="C2" s="5" t="s">
        <v>123</v>
      </c>
      <c r="D2" s="5" t="s">
        <v>124</v>
      </c>
      <c r="E2" s="5" t="n">
        <v>4</v>
      </c>
      <c r="F2" s="5" t="s">
        <v>125</v>
      </c>
      <c r="G2" s="5" t="s">
        <v>126</v>
      </c>
      <c r="H2" s="5" t="s">
        <v>127</v>
      </c>
      <c r="I2" s="5" t="s">
        <v>128</v>
      </c>
      <c r="J2" s="5" t="s">
        <v>129</v>
      </c>
    </row>
    <row r="3" customFormat="false" ht="15" hidden="false" customHeight="false" outlineLevel="0" collapsed="false">
      <c r="A3" s="7" t="s">
        <v>130</v>
      </c>
    </row>
    <row r="4" customFormat="false" ht="15" hidden="false" customHeight="false" outlineLevel="0" collapsed="false">
      <c r="A4" s="7" t="s">
        <v>131</v>
      </c>
    </row>
    <row r="5" customFormat="false" ht="15" hidden="false" customHeight="false" outlineLevel="0" collapsed="false">
      <c r="A5" s="7" t="s">
        <v>132</v>
      </c>
    </row>
    <row r="6" customFormat="false" ht="15" hidden="false" customHeight="false" outlineLevel="0" collapsed="false">
      <c r="A6" s="7" t="s">
        <v>133</v>
      </c>
    </row>
    <row r="7" customFormat="false" ht="15" hidden="false" customHeight="false" outlineLevel="0" collapsed="false">
      <c r="A7" s="7" t="s">
        <v>134</v>
      </c>
    </row>
    <row r="8" customFormat="false" ht="15" hidden="false" customHeight="false" outlineLevel="0" collapsed="false">
      <c r="A8" s="7" t="s">
        <v>135</v>
      </c>
    </row>
    <row r="9" customFormat="false" ht="15" hidden="false" customHeight="false" outlineLevel="0" collapsed="false">
      <c r="A9" s="7" t="s">
        <v>136</v>
      </c>
    </row>
    <row r="10" customFormat="false" ht="15" hidden="false" customHeight="false" outlineLevel="0" collapsed="false">
      <c r="A10" s="7" t="s">
        <v>137</v>
      </c>
    </row>
    <row r="11" customFormat="false" ht="15" hidden="false" customHeight="false" outlineLevel="0" collapsed="false">
      <c r="A11" s="7" t="s">
        <v>138</v>
      </c>
    </row>
    <row r="12" customFormat="false" ht="15" hidden="false" customHeight="false" outlineLevel="0" collapsed="false">
      <c r="A12" s="7" t="s">
        <v>139</v>
      </c>
    </row>
    <row r="13" customFormat="false" ht="15" hidden="false" customHeight="false" outlineLevel="0" collapsed="false">
      <c r="A13" s="7" t="s">
        <v>140</v>
      </c>
    </row>
    <row r="14" customFormat="false" ht="15" hidden="false" customHeight="false" outlineLevel="0" collapsed="false">
      <c r="A14" s="7" t="s">
        <v>141</v>
      </c>
    </row>
    <row r="15" customFormat="false" ht="15" hidden="false" customHeight="false" outlineLevel="0" collapsed="false">
      <c r="A15" s="7" t="s">
        <v>142</v>
      </c>
    </row>
    <row r="16" customFormat="false" ht="15" hidden="false" customHeight="false" outlineLevel="0" collapsed="false">
      <c r="A16" s="7" t="s">
        <v>143</v>
      </c>
    </row>
    <row r="17" customFormat="false" ht="15" hidden="false" customHeight="false" outlineLevel="0" collapsed="false">
      <c r="A17" s="7" t="s">
        <v>144</v>
      </c>
    </row>
    <row r="18" customFormat="false" ht="15" hidden="false" customHeight="false" outlineLevel="0" collapsed="false">
      <c r="A18" s="7" t="s">
        <v>145</v>
      </c>
    </row>
    <row r="19" customFormat="false" ht="15" hidden="false" customHeight="false" outlineLevel="0" collapsed="false">
      <c r="A19" s="7" t="s">
        <v>146</v>
      </c>
    </row>
    <row r="20" customFormat="false" ht="15" hidden="false" customHeight="false" outlineLevel="0" collapsed="false">
      <c r="A20" s="7" t="s">
        <v>147</v>
      </c>
    </row>
    <row r="21" customFormat="false" ht="15" hidden="false" customHeight="false" outlineLevel="0" collapsed="false">
      <c r="A21" s="7" t="s">
        <v>148</v>
      </c>
    </row>
    <row r="22" customFormat="false" ht="15" hidden="false" customHeight="false" outlineLevel="0" collapsed="false">
      <c r="A22" s="7" t="s">
        <v>149</v>
      </c>
    </row>
    <row r="23" customFormat="false" ht="15" hidden="false" customHeight="false" outlineLevel="0" collapsed="false">
      <c r="A23" s="7" t="s">
        <v>150</v>
      </c>
    </row>
    <row r="24" customFormat="false" ht="15" hidden="false" customHeight="false" outlineLevel="0" collapsed="false">
      <c r="A24" s="7" t="s">
        <v>151</v>
      </c>
    </row>
    <row r="25" customFormat="false" ht="15" hidden="false" customHeight="false" outlineLevel="0" collapsed="false">
      <c r="A25" s="7" t="s">
        <v>152</v>
      </c>
    </row>
    <row r="26" customFormat="false" ht="15" hidden="false" customHeight="false" outlineLevel="0" collapsed="false">
      <c r="A26" s="7" t="s">
        <v>153</v>
      </c>
    </row>
    <row r="27" customFormat="false" ht="15" hidden="false" customHeight="false" outlineLevel="0" collapsed="false">
      <c r="A27" s="7" t="s">
        <v>154</v>
      </c>
    </row>
    <row r="28" customFormat="false" ht="15" hidden="false" customHeight="false" outlineLevel="0" collapsed="false">
      <c r="A28" s="7" t="s">
        <v>155</v>
      </c>
    </row>
    <row r="29" customFormat="false" ht="15" hidden="false" customHeight="false" outlineLevel="0" collapsed="false">
      <c r="A29" s="7" t="s">
        <v>156</v>
      </c>
    </row>
    <row r="30" customFormat="false" ht="15" hidden="false" customHeight="false" outlineLevel="0" collapsed="false">
      <c r="A30" s="7" t="s">
        <v>157</v>
      </c>
    </row>
    <row r="31" customFormat="false" ht="15" hidden="false" customHeight="false" outlineLevel="0" collapsed="false">
      <c r="A31" s="7" t="s">
        <v>158</v>
      </c>
    </row>
    <row r="32" customFormat="false" ht="15" hidden="false" customHeight="false" outlineLevel="0" collapsed="false">
      <c r="A32" s="7" t="s">
        <v>159</v>
      </c>
    </row>
    <row r="33" customFormat="false" ht="15" hidden="false" customHeight="false" outlineLevel="0" collapsed="false">
      <c r="A33" s="7" t="s">
        <v>160</v>
      </c>
    </row>
    <row r="34" customFormat="false" ht="15" hidden="false" customHeight="false" outlineLevel="0" collapsed="false">
      <c r="A34" s="7" t="s">
        <v>161</v>
      </c>
    </row>
    <row r="35" customFormat="false" ht="15" hidden="false" customHeight="false" outlineLevel="0" collapsed="false">
      <c r="A35" s="7" t="s">
        <v>162</v>
      </c>
    </row>
    <row r="36" customFormat="false" ht="15" hidden="false" customHeight="false" outlineLevel="0" collapsed="false">
      <c r="A36" s="7" t="s">
        <v>163</v>
      </c>
    </row>
    <row r="37" customFormat="false" ht="15" hidden="false" customHeight="false" outlineLevel="0" collapsed="false">
      <c r="A37" s="7" t="s">
        <v>164</v>
      </c>
    </row>
    <row r="38" customFormat="false" ht="15" hidden="false" customHeight="false" outlineLevel="0" collapsed="false">
      <c r="A38" s="7" t="s">
        <v>165</v>
      </c>
    </row>
    <row r="39" customFormat="false" ht="15" hidden="false" customHeight="false" outlineLevel="0" collapsed="false">
      <c r="A39" s="7" t="s">
        <v>166</v>
      </c>
    </row>
    <row r="40" customFormat="false" ht="15" hidden="false" customHeight="false" outlineLevel="0" collapsed="false">
      <c r="A40" s="7" t="s">
        <v>167</v>
      </c>
    </row>
    <row r="41" customFormat="false" ht="15" hidden="false" customHeight="false" outlineLevel="0" collapsed="false">
      <c r="A41" s="7" t="s">
        <v>168</v>
      </c>
    </row>
    <row r="42" customFormat="false" ht="15" hidden="false" customHeight="false" outlineLevel="0" collapsed="false">
      <c r="A42" s="7" t="s">
        <v>169</v>
      </c>
    </row>
    <row r="43" customFormat="false" ht="15" hidden="false" customHeight="false" outlineLevel="0" collapsed="false">
      <c r="A43" s="7" t="s">
        <v>170</v>
      </c>
    </row>
    <row r="44" customFormat="false" ht="15" hidden="false" customHeight="false" outlineLevel="0" collapsed="false">
      <c r="A44" s="7" t="s">
        <v>171</v>
      </c>
    </row>
    <row r="45" customFormat="false" ht="15" hidden="false" customHeight="false" outlineLevel="0" collapsed="false">
      <c r="A45" s="7" t="s">
        <v>172</v>
      </c>
    </row>
    <row r="46" customFormat="false" ht="15" hidden="false" customHeight="false" outlineLevel="0" collapsed="false">
      <c r="A46" s="7" t="s">
        <v>173</v>
      </c>
    </row>
    <row r="47" customFormat="false" ht="15" hidden="false" customHeight="false" outlineLevel="0" collapsed="false">
      <c r="A47" s="7" t="s">
        <v>174</v>
      </c>
    </row>
    <row r="48" customFormat="false" ht="15" hidden="false" customHeight="false" outlineLevel="0" collapsed="false">
      <c r="A48" s="7" t="s">
        <v>175</v>
      </c>
    </row>
    <row r="49" customFormat="false" ht="15" hidden="false" customHeight="false" outlineLevel="0" collapsed="false">
      <c r="A49" s="7" t="s">
        <v>176</v>
      </c>
    </row>
    <row r="50" customFormat="false" ht="15" hidden="false" customHeight="false" outlineLevel="0" collapsed="false">
      <c r="A50" s="7" t="s">
        <v>177</v>
      </c>
    </row>
    <row r="51" customFormat="false" ht="15" hidden="false" customHeight="false" outlineLevel="0" collapsed="false">
      <c r="A51" s="7" t="s">
        <v>178</v>
      </c>
    </row>
    <row r="52" customFormat="false" ht="15" hidden="false" customHeight="false" outlineLevel="0" collapsed="false">
      <c r="A52" s="7" t="s">
        <v>179</v>
      </c>
    </row>
    <row r="53" customFormat="false" ht="15" hidden="false" customHeight="false" outlineLevel="0" collapsed="false">
      <c r="A53" s="7" t="s">
        <v>180</v>
      </c>
    </row>
    <row r="54" customFormat="false" ht="15" hidden="false" customHeight="false" outlineLevel="0" collapsed="false">
      <c r="A54" s="7" t="s">
        <v>181</v>
      </c>
    </row>
    <row r="55" customFormat="false" ht="15" hidden="false" customHeight="false" outlineLevel="0" collapsed="false">
      <c r="A55" s="7" t="s">
        <v>182</v>
      </c>
    </row>
    <row r="56" customFormat="false" ht="15" hidden="false" customHeight="false" outlineLevel="0" collapsed="false">
      <c r="A56" s="7" t="s">
        <v>183</v>
      </c>
    </row>
    <row r="57" customFormat="false" ht="15" hidden="false" customHeight="false" outlineLevel="0" collapsed="false">
      <c r="A57" s="7" t="s">
        <v>184</v>
      </c>
    </row>
    <row r="58" customFormat="false" ht="15" hidden="false" customHeight="false" outlineLevel="0" collapsed="false">
      <c r="A58" s="7" t="s">
        <v>185</v>
      </c>
    </row>
    <row r="59" customFormat="false" ht="15" hidden="false" customHeight="false" outlineLevel="0" collapsed="false">
      <c r="A59" s="7" t="s">
        <v>186</v>
      </c>
    </row>
    <row r="60" customFormat="false" ht="15" hidden="false" customHeight="false" outlineLevel="0" collapsed="false">
      <c r="A60" s="7" t="s">
        <v>187</v>
      </c>
    </row>
    <row r="61" customFormat="false" ht="15" hidden="false" customHeight="false" outlineLevel="0" collapsed="false">
      <c r="A61" s="7" t="s">
        <v>188</v>
      </c>
    </row>
    <row r="62" customFormat="false" ht="15" hidden="false" customHeight="false" outlineLevel="0" collapsed="false">
      <c r="A62" s="7" t="s">
        <v>189</v>
      </c>
    </row>
    <row r="63" customFormat="false" ht="15" hidden="false" customHeight="false" outlineLevel="0" collapsed="false">
      <c r="A63" s="7" t="s">
        <v>190</v>
      </c>
    </row>
    <row r="64" customFormat="false" ht="15" hidden="false" customHeight="false" outlineLevel="0" collapsed="false">
      <c r="A64" s="7" t="s">
        <v>191</v>
      </c>
    </row>
    <row r="65" customFormat="false" ht="15" hidden="false" customHeight="false" outlineLevel="0" collapsed="false">
      <c r="A65" s="7" t="s">
        <v>192</v>
      </c>
    </row>
    <row r="66" customFormat="false" ht="15" hidden="false" customHeight="false" outlineLevel="0" collapsed="false">
      <c r="A66" s="7" t="s">
        <v>193</v>
      </c>
    </row>
    <row r="67" customFormat="false" ht="15" hidden="false" customHeight="false" outlineLevel="0" collapsed="false">
      <c r="A67" s="7" t="s">
        <v>194</v>
      </c>
    </row>
    <row r="68" customFormat="false" ht="15" hidden="false" customHeight="false" outlineLevel="0" collapsed="false">
      <c r="A68" s="7" t="s">
        <v>195</v>
      </c>
    </row>
    <row r="69" customFormat="false" ht="15" hidden="false" customHeight="false" outlineLevel="0" collapsed="false">
      <c r="A69" s="7" t="s">
        <v>196</v>
      </c>
    </row>
    <row r="70" customFormat="false" ht="15" hidden="false" customHeight="false" outlineLevel="0" collapsed="false">
      <c r="A70" s="7" t="s">
        <v>197</v>
      </c>
    </row>
    <row r="71" customFormat="false" ht="15" hidden="false" customHeight="false" outlineLevel="0" collapsed="false">
      <c r="A71" s="7" t="s">
        <v>198</v>
      </c>
    </row>
    <row r="72" customFormat="false" ht="15" hidden="false" customHeight="false" outlineLevel="0" collapsed="false">
      <c r="A72" s="7" t="s">
        <v>199</v>
      </c>
    </row>
    <row r="73" customFormat="false" ht="15" hidden="false" customHeight="false" outlineLevel="0" collapsed="false">
      <c r="A73" s="7" t="s">
        <v>200</v>
      </c>
    </row>
    <row r="74" customFormat="false" ht="15" hidden="false" customHeight="false" outlineLevel="0" collapsed="false">
      <c r="A74" s="7" t="s">
        <v>201</v>
      </c>
    </row>
    <row r="75" customFormat="false" ht="15" hidden="false" customHeight="false" outlineLevel="0" collapsed="false">
      <c r="A75" s="7" t="s">
        <v>202</v>
      </c>
    </row>
    <row r="76" customFormat="false" ht="15" hidden="false" customHeight="false" outlineLevel="0" collapsed="false">
      <c r="A76" s="7" t="s">
        <v>203</v>
      </c>
    </row>
    <row r="77" customFormat="false" ht="15" hidden="false" customHeight="false" outlineLevel="0" collapsed="false">
      <c r="A77" s="7" t="s">
        <v>204</v>
      </c>
    </row>
    <row r="78" customFormat="false" ht="15" hidden="false" customHeight="false" outlineLevel="0" collapsed="false">
      <c r="A78" s="7" t="s">
        <v>205</v>
      </c>
    </row>
    <row r="79" customFormat="false" ht="15" hidden="false" customHeight="false" outlineLevel="0" collapsed="false">
      <c r="A79" s="7" t="s">
        <v>206</v>
      </c>
    </row>
    <row r="80" customFormat="false" ht="15" hidden="false" customHeight="false" outlineLevel="0" collapsed="false">
      <c r="A80" s="7" t="s">
        <v>207</v>
      </c>
    </row>
    <row r="81" customFormat="false" ht="15" hidden="false" customHeight="false" outlineLevel="0" collapsed="false">
      <c r="A81" s="7" t="s">
        <v>208</v>
      </c>
    </row>
    <row r="82" customFormat="false" ht="15" hidden="false" customHeight="false" outlineLevel="0" collapsed="false">
      <c r="A82" s="7" t="s">
        <v>209</v>
      </c>
    </row>
    <row r="83" customFormat="false" ht="15" hidden="false" customHeight="false" outlineLevel="0" collapsed="false">
      <c r="A83" s="7" t="s">
        <v>210</v>
      </c>
    </row>
    <row r="84" customFormat="false" ht="15" hidden="false" customHeight="false" outlineLevel="0" collapsed="false">
      <c r="A84" s="7" t="s">
        <v>211</v>
      </c>
    </row>
    <row r="85" customFormat="false" ht="15" hidden="false" customHeight="false" outlineLevel="0" collapsed="false">
      <c r="A85" s="7" t="s">
        <v>212</v>
      </c>
    </row>
    <row r="86" customFormat="false" ht="15" hidden="false" customHeight="false" outlineLevel="0" collapsed="false">
      <c r="A86" s="7" t="s">
        <v>213</v>
      </c>
    </row>
    <row r="87" customFormat="false" ht="15" hidden="false" customHeight="false" outlineLevel="0" collapsed="false">
      <c r="A87" s="7" t="s">
        <v>214</v>
      </c>
    </row>
    <row r="88" customFormat="false" ht="15" hidden="false" customHeight="false" outlineLevel="0" collapsed="false">
      <c r="A88" s="7" t="s">
        <v>215</v>
      </c>
    </row>
    <row r="89" customFormat="false" ht="15" hidden="false" customHeight="false" outlineLevel="0" collapsed="false">
      <c r="A89" s="7" t="s">
        <v>216</v>
      </c>
    </row>
    <row r="90" customFormat="false" ht="15" hidden="false" customHeight="false" outlineLevel="0" collapsed="false">
      <c r="A90" s="7" t="s">
        <v>217</v>
      </c>
    </row>
    <row r="91" customFormat="false" ht="15" hidden="false" customHeight="false" outlineLevel="0" collapsed="false">
      <c r="A91" s="7" t="s">
        <v>218</v>
      </c>
    </row>
    <row r="92" customFormat="false" ht="15" hidden="false" customHeight="false" outlineLevel="0" collapsed="false">
      <c r="A92" s="7" t="s">
        <v>219</v>
      </c>
    </row>
    <row r="93" customFormat="false" ht="15" hidden="false" customHeight="false" outlineLevel="0" collapsed="false">
      <c r="A93" s="7" t="s">
        <v>220</v>
      </c>
    </row>
    <row r="94" customFormat="false" ht="15" hidden="false" customHeight="false" outlineLevel="0" collapsed="false">
      <c r="A94" s="7" t="s">
        <v>221</v>
      </c>
    </row>
    <row r="95" customFormat="false" ht="15" hidden="false" customHeight="false" outlineLevel="0" collapsed="false">
      <c r="A95" s="7" t="s">
        <v>222</v>
      </c>
    </row>
    <row r="96" customFormat="false" ht="15" hidden="false" customHeight="false" outlineLevel="0" collapsed="false">
      <c r="A96" s="7" t="s">
        <v>223</v>
      </c>
    </row>
    <row r="97" customFormat="false" ht="15" hidden="false" customHeight="false" outlineLevel="0" collapsed="false">
      <c r="A97" s="7" t="s">
        <v>224</v>
      </c>
    </row>
    <row r="98" customFormat="false" ht="15" hidden="false" customHeight="false" outlineLevel="0" collapsed="false">
      <c r="A98" s="7" t="s">
        <v>225</v>
      </c>
    </row>
    <row r="99" customFormat="false" ht="15" hidden="false" customHeight="false" outlineLevel="0" collapsed="false">
      <c r="A99" s="7" t="s">
        <v>226</v>
      </c>
    </row>
    <row r="100" customFormat="false" ht="15" hidden="false" customHeight="false" outlineLevel="0" collapsed="false">
      <c r="A100" s="7" t="s">
        <v>227</v>
      </c>
    </row>
    <row r="101" customFormat="false" ht="15" hidden="false" customHeight="false" outlineLevel="0" collapsed="false">
      <c r="A101" s="7" t="s">
        <v>228</v>
      </c>
    </row>
    <row r="102" customFormat="false" ht="15" hidden="false" customHeight="false" outlineLevel="0" collapsed="false">
      <c r="A102" s="7" t="s">
        <v>229</v>
      </c>
    </row>
    <row r="103" customFormat="false" ht="15" hidden="false" customHeight="false" outlineLevel="0" collapsed="false">
      <c r="A103" s="7" t="s">
        <v>230</v>
      </c>
    </row>
    <row r="104" customFormat="false" ht="15" hidden="false" customHeight="false" outlineLevel="0" collapsed="false">
      <c r="A104" s="7" t="s">
        <v>231</v>
      </c>
    </row>
    <row r="105" customFormat="false" ht="15" hidden="false" customHeight="false" outlineLevel="0" collapsed="false">
      <c r="A105" s="7" t="s">
        <v>232</v>
      </c>
    </row>
    <row r="106" customFormat="false" ht="15" hidden="false" customHeight="false" outlineLevel="0" collapsed="false">
      <c r="A106" s="7" t="s">
        <v>233</v>
      </c>
    </row>
    <row r="107" customFormat="false" ht="15" hidden="false" customHeight="false" outlineLevel="0" collapsed="false">
      <c r="A107" s="7" t="s">
        <v>234</v>
      </c>
    </row>
    <row r="108" customFormat="false" ht="15" hidden="false" customHeight="false" outlineLevel="0" collapsed="false">
      <c r="A108" s="7" t="s">
        <v>235</v>
      </c>
    </row>
    <row r="109" customFormat="false" ht="15" hidden="false" customHeight="false" outlineLevel="0" collapsed="false">
      <c r="A109" s="7" t="s">
        <v>236</v>
      </c>
    </row>
    <row r="110" customFormat="false" ht="15" hidden="false" customHeight="false" outlineLevel="0" collapsed="false">
      <c r="A110" s="7" t="s">
        <v>237</v>
      </c>
    </row>
    <row r="111" customFormat="false" ht="15" hidden="false" customHeight="false" outlineLevel="0" collapsed="false">
      <c r="A111" s="7" t="s">
        <v>238</v>
      </c>
    </row>
    <row r="112" customFormat="false" ht="15" hidden="false" customHeight="false" outlineLevel="0" collapsed="false">
      <c r="A112" s="7" t="s">
        <v>239</v>
      </c>
    </row>
    <row r="113" customFormat="false" ht="15" hidden="false" customHeight="false" outlineLevel="0" collapsed="false">
      <c r="A113" s="7" t="s">
        <v>240</v>
      </c>
    </row>
    <row r="114" customFormat="false" ht="15" hidden="false" customHeight="false" outlineLevel="0" collapsed="false">
      <c r="A114" s="7" t="s">
        <v>241</v>
      </c>
    </row>
    <row r="115" customFormat="false" ht="15" hidden="false" customHeight="false" outlineLevel="0" collapsed="false">
      <c r="A115" s="7" t="s">
        <v>242</v>
      </c>
    </row>
    <row r="116" customFormat="false" ht="15" hidden="false" customHeight="false" outlineLevel="0" collapsed="false">
      <c r="A116" s="7" t="s">
        <v>243</v>
      </c>
    </row>
    <row r="117" customFormat="false" ht="15" hidden="false" customHeight="false" outlineLevel="0" collapsed="false">
      <c r="A117" s="7" t="s">
        <v>244</v>
      </c>
    </row>
    <row r="118" customFormat="false" ht="15" hidden="false" customHeight="false" outlineLevel="0" collapsed="false">
      <c r="A118" s="7" t="s">
        <v>245</v>
      </c>
    </row>
    <row r="119" customFormat="false" ht="15" hidden="false" customHeight="false" outlineLevel="0" collapsed="false">
      <c r="A119" s="7" t="s">
        <v>246</v>
      </c>
    </row>
    <row r="120" customFormat="false" ht="15" hidden="false" customHeight="false" outlineLevel="0" collapsed="false">
      <c r="A120" s="7" t="s">
        <v>247</v>
      </c>
    </row>
    <row r="121" customFormat="false" ht="15" hidden="false" customHeight="false" outlineLevel="0" collapsed="false">
      <c r="A121" s="7" t="s">
        <v>248</v>
      </c>
    </row>
    <row r="122" customFormat="false" ht="15" hidden="false" customHeight="false" outlineLevel="0" collapsed="false">
      <c r="A122" s="7" t="s">
        <v>249</v>
      </c>
    </row>
    <row r="123" customFormat="false" ht="15" hidden="false" customHeight="false" outlineLevel="0" collapsed="false">
      <c r="A123" s="7" t="s">
        <v>250</v>
      </c>
    </row>
    <row r="124" customFormat="false" ht="15" hidden="false" customHeight="false" outlineLevel="0" collapsed="false">
      <c r="A124" s="7" t="s">
        <v>251</v>
      </c>
    </row>
    <row r="125" customFormat="false" ht="15" hidden="false" customHeight="false" outlineLevel="0" collapsed="false">
      <c r="A125" s="7" t="s">
        <v>252</v>
      </c>
    </row>
    <row r="126" customFormat="false" ht="15" hidden="false" customHeight="false" outlineLevel="0" collapsed="false">
      <c r="A126" s="7" t="s">
        <v>253</v>
      </c>
    </row>
    <row r="127" customFormat="false" ht="15" hidden="false" customHeight="false" outlineLevel="0" collapsed="false">
      <c r="A127" s="7" t="s">
        <v>254</v>
      </c>
    </row>
    <row r="128" customFormat="false" ht="15" hidden="false" customHeight="false" outlineLevel="0" collapsed="false">
      <c r="A128" s="7" t="s">
        <v>255</v>
      </c>
    </row>
    <row r="129" customFormat="false" ht="15" hidden="false" customHeight="false" outlineLevel="0" collapsed="false">
      <c r="A129" s="7" t="s">
        <v>256</v>
      </c>
    </row>
    <row r="130" customFormat="false" ht="15" hidden="false" customHeight="false" outlineLevel="0" collapsed="false">
      <c r="A130" s="7" t="s">
        <v>257</v>
      </c>
    </row>
    <row r="131" customFormat="false" ht="15" hidden="false" customHeight="false" outlineLevel="0" collapsed="false">
      <c r="A131" s="7" t="s">
        <v>258</v>
      </c>
    </row>
    <row r="132" customFormat="false" ht="15" hidden="false" customHeight="false" outlineLevel="0" collapsed="false">
      <c r="A132" s="7" t="s">
        <v>259</v>
      </c>
    </row>
    <row r="133" customFormat="false" ht="15" hidden="false" customHeight="false" outlineLevel="0" collapsed="false">
      <c r="A133" s="7" t="s">
        <v>260</v>
      </c>
    </row>
    <row r="134" customFormat="false" ht="15" hidden="false" customHeight="false" outlineLevel="0" collapsed="false">
      <c r="A134" s="7" t="s">
        <v>261</v>
      </c>
    </row>
    <row r="135" customFormat="false" ht="15" hidden="false" customHeight="false" outlineLevel="0" collapsed="false">
      <c r="A135" s="7" t="s">
        <v>262</v>
      </c>
    </row>
    <row r="136" customFormat="false" ht="15" hidden="false" customHeight="false" outlineLevel="0" collapsed="false">
      <c r="A136" s="7" t="s">
        <v>263</v>
      </c>
    </row>
    <row r="137" customFormat="false" ht="15" hidden="false" customHeight="false" outlineLevel="0" collapsed="false">
      <c r="A137" s="7" t="s">
        <v>264</v>
      </c>
    </row>
    <row r="138" customFormat="false" ht="15" hidden="false" customHeight="false" outlineLevel="0" collapsed="false">
      <c r="A138" s="7" t="s">
        <v>265</v>
      </c>
    </row>
    <row r="139" customFormat="false" ht="15" hidden="false" customHeight="false" outlineLevel="0" collapsed="false">
      <c r="A139" s="7" t="s">
        <v>266</v>
      </c>
    </row>
    <row r="140" customFormat="false" ht="15" hidden="false" customHeight="false" outlineLevel="0" collapsed="false">
      <c r="A140" s="7" t="s">
        <v>267</v>
      </c>
    </row>
    <row r="141" customFormat="false" ht="15" hidden="false" customHeight="false" outlineLevel="0" collapsed="false">
      <c r="A141" s="7" t="s">
        <v>268</v>
      </c>
    </row>
    <row r="142" customFormat="false" ht="15" hidden="false" customHeight="false" outlineLevel="0" collapsed="false">
      <c r="A142" s="7" t="s">
        <v>269</v>
      </c>
    </row>
    <row r="143" customFormat="false" ht="15" hidden="false" customHeight="false" outlineLevel="0" collapsed="false">
      <c r="A143" s="7" t="s">
        <v>270</v>
      </c>
    </row>
    <row r="144" customFormat="false" ht="15" hidden="false" customHeight="false" outlineLevel="0" collapsed="false">
      <c r="A144" s="7" t="s">
        <v>271</v>
      </c>
    </row>
    <row r="145" customFormat="false" ht="15" hidden="false" customHeight="false" outlineLevel="0" collapsed="false">
      <c r="A145" s="7" t="s">
        <v>272</v>
      </c>
    </row>
    <row r="146" customFormat="false" ht="15" hidden="false" customHeight="false" outlineLevel="0" collapsed="false">
      <c r="A146" s="7" t="s">
        <v>273</v>
      </c>
    </row>
    <row r="147" customFormat="false" ht="15" hidden="false" customHeight="false" outlineLevel="0" collapsed="false">
      <c r="A147" s="7" t="s">
        <v>274</v>
      </c>
    </row>
    <row r="148" customFormat="false" ht="15" hidden="false" customHeight="false" outlineLevel="0" collapsed="false">
      <c r="A148" s="7" t="s">
        <v>275</v>
      </c>
    </row>
    <row r="149" customFormat="false" ht="15" hidden="false" customHeight="false" outlineLevel="0" collapsed="false">
      <c r="A149" s="7" t="s">
        <v>276</v>
      </c>
    </row>
    <row r="150" customFormat="false" ht="15" hidden="false" customHeight="false" outlineLevel="0" collapsed="false">
      <c r="A150" s="7" t="s">
        <v>277</v>
      </c>
    </row>
    <row r="151" customFormat="false" ht="15" hidden="false" customHeight="false" outlineLevel="0" collapsed="false">
      <c r="A151" s="7" t="s">
        <v>278</v>
      </c>
    </row>
    <row r="152" customFormat="false" ht="15" hidden="false" customHeight="false" outlineLevel="0" collapsed="false">
      <c r="A152" s="7" t="s">
        <v>279</v>
      </c>
    </row>
    <row r="153" customFormat="false" ht="15" hidden="false" customHeight="false" outlineLevel="0" collapsed="false">
      <c r="A153" s="7" t="s">
        <v>280</v>
      </c>
    </row>
    <row r="154" customFormat="false" ht="15" hidden="false" customHeight="false" outlineLevel="0" collapsed="false">
      <c r="A154" s="7" t="s">
        <v>281</v>
      </c>
    </row>
    <row r="155" customFormat="false" ht="15" hidden="false" customHeight="false" outlineLevel="0" collapsed="false">
      <c r="A155" s="7" t="s">
        <v>282</v>
      </c>
    </row>
    <row r="156" customFormat="false" ht="15" hidden="false" customHeight="false" outlineLevel="0" collapsed="false">
      <c r="A156" s="7" t="s">
        <v>283</v>
      </c>
    </row>
    <row r="157" customFormat="false" ht="15" hidden="false" customHeight="false" outlineLevel="0" collapsed="false">
      <c r="A157" s="7" t="s">
        <v>284</v>
      </c>
    </row>
    <row r="158" customFormat="false" ht="15" hidden="false" customHeight="false" outlineLevel="0" collapsed="false">
      <c r="A158" s="7" t="s">
        <v>285</v>
      </c>
    </row>
    <row r="159" customFormat="false" ht="15" hidden="false" customHeight="false" outlineLevel="0" collapsed="false">
      <c r="A159" s="7" t="s">
        <v>286</v>
      </c>
    </row>
    <row r="160" customFormat="false" ht="15" hidden="false" customHeight="false" outlineLevel="0" collapsed="false">
      <c r="A160" s="7" t="s">
        <v>287</v>
      </c>
    </row>
    <row r="161" customFormat="false" ht="15" hidden="false" customHeight="false" outlineLevel="0" collapsed="false">
      <c r="A161" s="7" t="s">
        <v>288</v>
      </c>
    </row>
    <row r="162" customFormat="false" ht="15" hidden="false" customHeight="false" outlineLevel="0" collapsed="false">
      <c r="A162" s="7" t="s">
        <v>289</v>
      </c>
    </row>
    <row r="163" customFormat="false" ht="15" hidden="false" customHeight="false" outlineLevel="0" collapsed="false">
      <c r="A163" s="7" t="s">
        <v>290</v>
      </c>
    </row>
    <row r="164" customFormat="false" ht="15" hidden="false" customHeight="false" outlineLevel="0" collapsed="false">
      <c r="A164" s="7" t="s">
        <v>291</v>
      </c>
    </row>
    <row r="165" customFormat="false" ht="15" hidden="false" customHeight="false" outlineLevel="0" collapsed="false">
      <c r="A165" s="7" t="s">
        <v>292</v>
      </c>
    </row>
    <row r="166" customFormat="false" ht="15" hidden="false" customHeight="false" outlineLevel="0" collapsed="false">
      <c r="A166" s="7" t="s">
        <v>293</v>
      </c>
    </row>
    <row r="167" customFormat="false" ht="15" hidden="false" customHeight="false" outlineLevel="0" collapsed="false">
      <c r="A167" s="7" t="s">
        <v>294</v>
      </c>
    </row>
    <row r="168" customFormat="false" ht="15" hidden="false" customHeight="false" outlineLevel="0" collapsed="false">
      <c r="A168" s="7" t="s">
        <v>295</v>
      </c>
    </row>
    <row r="169" customFormat="false" ht="15" hidden="false" customHeight="false" outlineLevel="0" collapsed="false">
      <c r="A169" s="7" t="s">
        <v>296</v>
      </c>
    </row>
    <row r="170" customFormat="false" ht="15" hidden="false" customHeight="false" outlineLevel="0" collapsed="false">
      <c r="A170" s="7" t="s">
        <v>297</v>
      </c>
    </row>
    <row r="171" customFormat="false" ht="15" hidden="false" customHeight="false" outlineLevel="0" collapsed="false">
      <c r="A171" s="7" t="s">
        <v>298</v>
      </c>
    </row>
    <row r="172" customFormat="false" ht="15" hidden="false" customHeight="false" outlineLevel="0" collapsed="false">
      <c r="A172" s="7" t="s">
        <v>299</v>
      </c>
    </row>
    <row r="173" customFormat="false" ht="15" hidden="false" customHeight="false" outlineLevel="0" collapsed="false">
      <c r="A173" s="7" t="s">
        <v>300</v>
      </c>
    </row>
    <row r="174" customFormat="false" ht="15" hidden="false" customHeight="false" outlineLevel="0" collapsed="false">
      <c r="A174" s="7" t="s">
        <v>301</v>
      </c>
    </row>
    <row r="175" customFormat="false" ht="15" hidden="false" customHeight="false" outlineLevel="0" collapsed="false">
      <c r="A175" s="7" t="s">
        <v>302</v>
      </c>
    </row>
    <row r="176" customFormat="false" ht="15" hidden="false" customHeight="false" outlineLevel="0" collapsed="false">
      <c r="A176" s="7" t="s">
        <v>303</v>
      </c>
    </row>
    <row r="177" customFormat="false" ht="15" hidden="false" customHeight="false" outlineLevel="0" collapsed="false">
      <c r="A177" s="7" t="s">
        <v>304</v>
      </c>
    </row>
    <row r="178" customFormat="false" ht="15" hidden="false" customHeight="false" outlineLevel="0" collapsed="false">
      <c r="A178" s="7" t="s">
        <v>305</v>
      </c>
    </row>
    <row r="179" customFormat="false" ht="15" hidden="false" customHeight="false" outlineLevel="0" collapsed="false">
      <c r="A179" s="7" t="s">
        <v>306</v>
      </c>
    </row>
    <row r="180" customFormat="false" ht="15" hidden="false" customHeight="false" outlineLevel="0" collapsed="false">
      <c r="A180" s="7" t="s">
        <v>307</v>
      </c>
    </row>
    <row r="181" customFormat="false" ht="15" hidden="false" customHeight="false" outlineLevel="0" collapsed="false">
      <c r="A181" s="7" t="s">
        <v>308</v>
      </c>
    </row>
    <row r="182" customFormat="false" ht="15" hidden="false" customHeight="false" outlineLevel="0" collapsed="false">
      <c r="A182" s="7" t="s">
        <v>309</v>
      </c>
    </row>
    <row r="183" customFormat="false" ht="15" hidden="false" customHeight="false" outlineLevel="0" collapsed="false">
      <c r="A183" s="7" t="s">
        <v>310</v>
      </c>
    </row>
    <row r="184" customFormat="false" ht="15" hidden="false" customHeight="false" outlineLevel="0" collapsed="false">
      <c r="A184" s="7" t="s">
        <v>311</v>
      </c>
    </row>
    <row r="185" customFormat="false" ht="15" hidden="false" customHeight="false" outlineLevel="0" collapsed="false">
      <c r="A185" s="7" t="s">
        <v>312</v>
      </c>
    </row>
    <row r="186" customFormat="false" ht="15" hidden="false" customHeight="false" outlineLevel="0" collapsed="false">
      <c r="A186" s="7" t="s">
        <v>313</v>
      </c>
    </row>
    <row r="187" customFormat="false" ht="15" hidden="false" customHeight="false" outlineLevel="0" collapsed="false">
      <c r="A187" s="7" t="s">
        <v>314</v>
      </c>
    </row>
    <row r="188" customFormat="false" ht="15" hidden="false" customHeight="false" outlineLevel="0" collapsed="false">
      <c r="A188" s="7" t="s">
        <v>315</v>
      </c>
    </row>
    <row r="189" customFormat="false" ht="15" hidden="false" customHeight="false" outlineLevel="0" collapsed="false">
      <c r="A189" s="7" t="s">
        <v>316</v>
      </c>
    </row>
    <row r="190" customFormat="false" ht="15" hidden="false" customHeight="false" outlineLevel="0" collapsed="false">
      <c r="A190" s="7" t="s">
        <v>317</v>
      </c>
    </row>
    <row r="191" customFormat="false" ht="15" hidden="false" customHeight="false" outlineLevel="0" collapsed="false">
      <c r="A191" s="7" t="s">
        <v>318</v>
      </c>
    </row>
    <row r="192" customFormat="false" ht="15" hidden="false" customHeight="false" outlineLevel="0" collapsed="false">
      <c r="A192" s="7" t="s">
        <v>319</v>
      </c>
    </row>
    <row r="193" customFormat="false" ht="15" hidden="false" customHeight="false" outlineLevel="0" collapsed="false">
      <c r="A193" s="7" t="s">
        <v>320</v>
      </c>
    </row>
    <row r="194" customFormat="false" ht="15" hidden="false" customHeight="false" outlineLevel="0" collapsed="false">
      <c r="A194" s="7" t="s">
        <v>321</v>
      </c>
    </row>
    <row r="195" customFormat="false" ht="15" hidden="false" customHeight="false" outlineLevel="0" collapsed="false">
      <c r="A195" s="7" t="s">
        <v>322</v>
      </c>
    </row>
    <row r="196" customFormat="false" ht="15" hidden="false" customHeight="false" outlineLevel="0" collapsed="false">
      <c r="A196" s="7" t="s">
        <v>323</v>
      </c>
    </row>
    <row r="197" customFormat="false" ht="15" hidden="false" customHeight="false" outlineLevel="0" collapsed="false">
      <c r="A197" s="7" t="s">
        <v>324</v>
      </c>
    </row>
    <row r="198" customFormat="false" ht="15" hidden="false" customHeight="false" outlineLevel="0" collapsed="false">
      <c r="A198" s="7" t="s">
        <v>325</v>
      </c>
    </row>
    <row r="199" customFormat="false" ht="15" hidden="false" customHeight="false" outlineLevel="0" collapsed="false">
      <c r="A199" s="7" t="s">
        <v>326</v>
      </c>
    </row>
    <row r="200" customFormat="false" ht="15" hidden="false" customHeight="false" outlineLevel="0" collapsed="false">
      <c r="A200" s="7" t="s">
        <v>327</v>
      </c>
    </row>
    <row r="201" customFormat="false" ht="15" hidden="false" customHeight="false" outlineLevel="0" collapsed="false">
      <c r="A201" s="7" t="s">
        <v>328</v>
      </c>
    </row>
    <row r="202" customFormat="false" ht="15" hidden="false" customHeight="false" outlineLevel="0" collapsed="false">
      <c r="A202" s="7" t="s">
        <v>329</v>
      </c>
    </row>
    <row r="203" customFormat="false" ht="15" hidden="false" customHeight="false" outlineLevel="0" collapsed="false">
      <c r="A203" s="7" t="s">
        <v>330</v>
      </c>
    </row>
    <row r="204" customFormat="false" ht="15" hidden="false" customHeight="false" outlineLevel="0" collapsed="false">
      <c r="A204" s="7" t="s">
        <v>331</v>
      </c>
    </row>
    <row r="205" customFormat="false" ht="15" hidden="false" customHeight="false" outlineLevel="0" collapsed="false">
      <c r="A205" s="7" t="s">
        <v>332</v>
      </c>
    </row>
    <row r="206" customFormat="false" ht="15" hidden="false" customHeight="false" outlineLevel="0" collapsed="false">
      <c r="A206" s="7" t="s">
        <v>333</v>
      </c>
    </row>
    <row r="207" customFormat="false" ht="15" hidden="false" customHeight="false" outlineLevel="0" collapsed="false">
      <c r="A207" s="7" t="s">
        <v>334</v>
      </c>
    </row>
    <row r="208" customFormat="false" ht="15" hidden="false" customHeight="false" outlineLevel="0" collapsed="false">
      <c r="A208" s="7" t="s">
        <v>335</v>
      </c>
    </row>
    <row r="209" customFormat="false" ht="15" hidden="false" customHeight="false" outlineLevel="0" collapsed="false">
      <c r="A209" s="7" t="s">
        <v>336</v>
      </c>
    </row>
    <row r="210" customFormat="false" ht="15" hidden="false" customHeight="false" outlineLevel="0" collapsed="false">
      <c r="A210" s="7" t="s">
        <v>337</v>
      </c>
    </row>
    <row r="211" customFormat="false" ht="15" hidden="false" customHeight="false" outlineLevel="0" collapsed="false">
      <c r="A211" s="7" t="s">
        <v>338</v>
      </c>
    </row>
    <row r="212" customFormat="false" ht="15" hidden="false" customHeight="false" outlineLevel="0" collapsed="false">
      <c r="A212" s="7" t="s">
        <v>339</v>
      </c>
    </row>
    <row r="213" customFormat="false" ht="15" hidden="false" customHeight="false" outlineLevel="0" collapsed="false">
      <c r="A213" s="7" t="s">
        <v>340</v>
      </c>
    </row>
    <row r="214" customFormat="false" ht="15" hidden="false" customHeight="false" outlineLevel="0" collapsed="false">
      <c r="A214" s="7" t="s">
        <v>341</v>
      </c>
    </row>
    <row r="215" customFormat="false" ht="15" hidden="false" customHeight="false" outlineLevel="0" collapsed="false">
      <c r="A215" s="7" t="s">
        <v>342</v>
      </c>
    </row>
    <row r="216" customFormat="false" ht="15" hidden="false" customHeight="false" outlineLevel="0" collapsed="false">
      <c r="A216" s="7" t="s">
        <v>343</v>
      </c>
    </row>
    <row r="217" customFormat="false" ht="15" hidden="false" customHeight="false" outlineLevel="0" collapsed="false">
      <c r="A217" s="7" t="s">
        <v>344</v>
      </c>
    </row>
    <row r="218" customFormat="false" ht="15" hidden="false" customHeight="false" outlineLevel="0" collapsed="false">
      <c r="A218" s="7" t="s">
        <v>345</v>
      </c>
    </row>
    <row r="219" customFormat="false" ht="15" hidden="false" customHeight="false" outlineLevel="0" collapsed="false">
      <c r="A219" s="7" t="s">
        <v>346</v>
      </c>
    </row>
    <row r="220" customFormat="false" ht="15" hidden="false" customHeight="false" outlineLevel="0" collapsed="false">
      <c r="A220" s="7" t="s">
        <v>347</v>
      </c>
    </row>
    <row r="221" customFormat="false" ht="15" hidden="false" customHeight="false" outlineLevel="0" collapsed="false">
      <c r="A221" s="7" t="s">
        <v>348</v>
      </c>
    </row>
    <row r="222" customFormat="false" ht="15" hidden="false" customHeight="false" outlineLevel="0" collapsed="false">
      <c r="A222" s="7" t="s">
        <v>349</v>
      </c>
    </row>
    <row r="223" customFormat="false" ht="15" hidden="false" customHeight="false" outlineLevel="0" collapsed="false">
      <c r="A223" s="7" t="s">
        <v>350</v>
      </c>
    </row>
    <row r="224" customFormat="false" ht="15" hidden="false" customHeight="false" outlineLevel="0" collapsed="false">
      <c r="A224" s="7" t="s">
        <v>351</v>
      </c>
    </row>
    <row r="225" customFormat="false" ht="15" hidden="false" customHeight="false" outlineLevel="0" collapsed="false">
      <c r="A225" s="7" t="s">
        <v>352</v>
      </c>
    </row>
    <row r="226" customFormat="false" ht="15" hidden="false" customHeight="false" outlineLevel="0" collapsed="false">
      <c r="A226" s="7" t="s">
        <v>353</v>
      </c>
    </row>
    <row r="227" customFormat="false" ht="15" hidden="false" customHeight="false" outlineLevel="0" collapsed="false">
      <c r="A227" s="7" t="s">
        <v>354</v>
      </c>
    </row>
    <row r="228" customFormat="false" ht="15" hidden="false" customHeight="false" outlineLevel="0" collapsed="false">
      <c r="A228" s="7" t="s">
        <v>355</v>
      </c>
    </row>
    <row r="229" customFormat="false" ht="15" hidden="false" customHeight="false" outlineLevel="0" collapsed="false">
      <c r="A229" s="7" t="s">
        <v>356</v>
      </c>
    </row>
    <row r="230" customFormat="false" ht="15" hidden="false" customHeight="false" outlineLevel="0" collapsed="false">
      <c r="A230" s="7" t="s">
        <v>357</v>
      </c>
    </row>
    <row r="231" customFormat="false" ht="15" hidden="false" customHeight="false" outlineLevel="0" collapsed="false">
      <c r="A231" s="7" t="s">
        <v>358</v>
      </c>
    </row>
    <row r="232" customFormat="false" ht="15" hidden="false" customHeight="false" outlineLevel="0" collapsed="false">
      <c r="A232" s="7" t="s">
        <v>359</v>
      </c>
    </row>
    <row r="233" customFormat="false" ht="15" hidden="false" customHeight="false" outlineLevel="0" collapsed="false">
      <c r="A233" s="7" t="s">
        <v>360</v>
      </c>
    </row>
    <row r="234" customFormat="false" ht="15" hidden="false" customHeight="false" outlineLevel="0" collapsed="false">
      <c r="A234" s="7" t="s">
        <v>361</v>
      </c>
    </row>
    <row r="235" customFormat="false" ht="15" hidden="false" customHeight="false" outlineLevel="0" collapsed="false">
      <c r="A235" s="7" t="s">
        <v>362</v>
      </c>
    </row>
    <row r="236" customFormat="false" ht="15" hidden="false" customHeight="false" outlineLevel="0" collapsed="false">
      <c r="A236" s="7" t="s">
        <v>363</v>
      </c>
    </row>
    <row r="237" customFormat="false" ht="15" hidden="false" customHeight="false" outlineLevel="0" collapsed="false">
      <c r="A237" s="7" t="s">
        <v>364</v>
      </c>
    </row>
    <row r="238" customFormat="false" ht="15" hidden="false" customHeight="false" outlineLevel="0" collapsed="false">
      <c r="A238" s="7" t="s">
        <v>365</v>
      </c>
    </row>
    <row r="239" customFormat="false" ht="15" hidden="false" customHeight="false" outlineLevel="0" collapsed="false">
      <c r="A239" s="7" t="s">
        <v>366</v>
      </c>
    </row>
    <row r="240" customFormat="false" ht="15" hidden="false" customHeight="false" outlineLevel="0" collapsed="false">
      <c r="A240" s="7" t="s">
        <v>367</v>
      </c>
    </row>
    <row r="241" customFormat="false" ht="15" hidden="false" customHeight="false" outlineLevel="0" collapsed="false">
      <c r="A241" s="7" t="s">
        <v>368</v>
      </c>
    </row>
    <row r="242" customFormat="false" ht="15" hidden="false" customHeight="false" outlineLevel="0" collapsed="false">
      <c r="A242" s="7" t="s">
        <v>369</v>
      </c>
    </row>
    <row r="243" customFormat="false" ht="15" hidden="false" customHeight="false" outlineLevel="0" collapsed="false">
      <c r="A243" s="7" t="s">
        <v>370</v>
      </c>
    </row>
    <row r="244" customFormat="false" ht="15" hidden="false" customHeight="false" outlineLevel="0" collapsed="false">
      <c r="A244" s="7" t="s">
        <v>371</v>
      </c>
    </row>
    <row r="245" customFormat="false" ht="15" hidden="false" customHeight="false" outlineLevel="0" collapsed="false">
      <c r="A245" s="7" t="s">
        <v>372</v>
      </c>
    </row>
    <row r="246" customFormat="false" ht="15" hidden="false" customHeight="false" outlineLevel="0" collapsed="false">
      <c r="A246" s="7" t="s">
        <v>373</v>
      </c>
    </row>
    <row r="247" customFormat="false" ht="15" hidden="false" customHeight="false" outlineLevel="0" collapsed="false">
      <c r="A247" s="7" t="s">
        <v>374</v>
      </c>
    </row>
    <row r="248" customFormat="false" ht="15" hidden="false" customHeight="false" outlineLevel="0" collapsed="false">
      <c r="A248" s="7" t="s">
        <v>375</v>
      </c>
    </row>
    <row r="249" customFormat="false" ht="15" hidden="false" customHeight="false" outlineLevel="0" collapsed="false">
      <c r="A249" s="7" t="s">
        <v>376</v>
      </c>
    </row>
    <row r="250" customFormat="false" ht="15" hidden="false" customHeight="false" outlineLevel="0" collapsed="false">
      <c r="A250" s="7" t="s">
        <v>377</v>
      </c>
    </row>
    <row r="251" customFormat="false" ht="15" hidden="false" customHeight="false" outlineLevel="0" collapsed="false">
      <c r="A251" s="7" t="s">
        <v>378</v>
      </c>
    </row>
    <row r="252" customFormat="false" ht="15" hidden="false" customHeight="false" outlineLevel="0" collapsed="false">
      <c r="A252" s="7" t="s">
        <v>379</v>
      </c>
    </row>
    <row r="253" customFormat="false" ht="15" hidden="false" customHeight="false" outlineLevel="0" collapsed="false">
      <c r="A253" s="7" t="s">
        <v>380</v>
      </c>
    </row>
    <row r="254" customFormat="false" ht="15" hidden="false" customHeight="false" outlineLevel="0" collapsed="false">
      <c r="A254" s="7" t="s">
        <v>381</v>
      </c>
    </row>
    <row r="255" customFormat="false" ht="15" hidden="false" customHeight="false" outlineLevel="0" collapsed="false">
      <c r="A255" s="7" t="s">
        <v>382</v>
      </c>
    </row>
    <row r="256" customFormat="false" ht="15" hidden="false" customHeight="false" outlineLevel="0" collapsed="false">
      <c r="A256" s="7" t="s">
        <v>383</v>
      </c>
    </row>
    <row r="257" customFormat="false" ht="15" hidden="false" customHeight="false" outlineLevel="0" collapsed="false">
      <c r="A257" s="7" t="s">
        <v>384</v>
      </c>
    </row>
    <row r="258" customFormat="false" ht="15" hidden="false" customHeight="false" outlineLevel="0" collapsed="false">
      <c r="A258" s="7" t="s">
        <v>385</v>
      </c>
    </row>
    <row r="259" customFormat="false" ht="15" hidden="false" customHeight="false" outlineLevel="0" collapsed="false">
      <c r="A259" s="7" t="s">
        <v>386</v>
      </c>
    </row>
    <row r="260" customFormat="false" ht="15" hidden="false" customHeight="false" outlineLevel="0" collapsed="false">
      <c r="A260" s="7" t="s">
        <v>387</v>
      </c>
    </row>
    <row r="261" customFormat="false" ht="15" hidden="false" customHeight="false" outlineLevel="0" collapsed="false">
      <c r="A261" s="7" t="s">
        <v>388</v>
      </c>
    </row>
    <row r="262" customFormat="false" ht="15" hidden="false" customHeight="false" outlineLevel="0" collapsed="false">
      <c r="A262" s="7" t="s">
        <v>389</v>
      </c>
    </row>
    <row r="263" customFormat="false" ht="15" hidden="false" customHeight="false" outlineLevel="0" collapsed="false">
      <c r="A263" s="7" t="s">
        <v>390</v>
      </c>
    </row>
    <row r="264" customFormat="false" ht="15" hidden="false" customHeight="false" outlineLevel="0" collapsed="false">
      <c r="A264" s="7" t="s">
        <v>391</v>
      </c>
    </row>
    <row r="265" customFormat="false" ht="15" hidden="false" customHeight="false" outlineLevel="0" collapsed="false">
      <c r="A265" s="7" t="s">
        <v>392</v>
      </c>
    </row>
    <row r="266" customFormat="false" ht="15" hidden="false" customHeight="false" outlineLevel="0" collapsed="false">
      <c r="A266" s="7" t="s">
        <v>393</v>
      </c>
    </row>
    <row r="267" customFormat="false" ht="15" hidden="false" customHeight="false" outlineLevel="0" collapsed="false">
      <c r="A267" s="7" t="s">
        <v>394</v>
      </c>
    </row>
    <row r="268" customFormat="false" ht="15" hidden="false" customHeight="false" outlineLevel="0" collapsed="false">
      <c r="A268" s="7" t="s">
        <v>395</v>
      </c>
    </row>
    <row r="269" customFormat="false" ht="15" hidden="false" customHeight="false" outlineLevel="0" collapsed="false">
      <c r="A269" s="7" t="s">
        <v>396</v>
      </c>
    </row>
    <row r="270" customFormat="false" ht="15" hidden="false" customHeight="false" outlineLevel="0" collapsed="false">
      <c r="A270" s="7" t="s">
        <v>397</v>
      </c>
    </row>
    <row r="271" customFormat="false" ht="15" hidden="false" customHeight="false" outlineLevel="0" collapsed="false">
      <c r="A271" s="7" t="s">
        <v>398</v>
      </c>
    </row>
    <row r="272" customFormat="false" ht="15" hidden="false" customHeight="false" outlineLevel="0" collapsed="false">
      <c r="A272" s="7" t="s">
        <v>399</v>
      </c>
    </row>
    <row r="273" customFormat="false" ht="15" hidden="false" customHeight="false" outlineLevel="0" collapsed="false">
      <c r="A273" s="7" t="s">
        <v>400</v>
      </c>
    </row>
    <row r="274" customFormat="false" ht="15" hidden="false" customHeight="false" outlineLevel="0" collapsed="false">
      <c r="A274" s="7" t="s">
        <v>401</v>
      </c>
    </row>
    <row r="275" customFormat="false" ht="15" hidden="false" customHeight="false" outlineLevel="0" collapsed="false">
      <c r="A275" s="7" t="s">
        <v>402</v>
      </c>
    </row>
    <row r="276" customFormat="false" ht="15" hidden="false" customHeight="false" outlineLevel="0" collapsed="false">
      <c r="A276" s="7" t="s">
        <v>403</v>
      </c>
    </row>
    <row r="277" customFormat="false" ht="15" hidden="false" customHeight="false" outlineLevel="0" collapsed="false">
      <c r="A277" s="7" t="s">
        <v>404</v>
      </c>
    </row>
    <row r="278" customFormat="false" ht="15" hidden="false" customHeight="false" outlineLevel="0" collapsed="false">
      <c r="A278" s="7" t="s">
        <v>405</v>
      </c>
    </row>
    <row r="279" customFormat="false" ht="15" hidden="false" customHeight="false" outlineLevel="0" collapsed="false">
      <c r="A279" s="7" t="s">
        <v>406</v>
      </c>
    </row>
    <row r="280" customFormat="false" ht="15" hidden="false" customHeight="false" outlineLevel="0" collapsed="false">
      <c r="A280" s="7" t="s">
        <v>407</v>
      </c>
    </row>
    <row r="281" customFormat="false" ht="15" hidden="false" customHeight="false" outlineLevel="0" collapsed="false">
      <c r="A281" s="7" t="s">
        <v>408</v>
      </c>
    </row>
    <row r="282" customFormat="false" ht="15" hidden="false" customHeight="false" outlineLevel="0" collapsed="false">
      <c r="A282" s="7" t="s">
        <v>409</v>
      </c>
    </row>
    <row r="283" customFormat="false" ht="15" hidden="false" customHeight="false" outlineLevel="0" collapsed="false">
      <c r="A283" s="7" t="s">
        <v>410</v>
      </c>
    </row>
    <row r="284" customFormat="false" ht="15" hidden="false" customHeight="false" outlineLevel="0" collapsed="false">
      <c r="A284" s="7" t="s">
        <v>411</v>
      </c>
    </row>
    <row r="285" customFormat="false" ht="15" hidden="false" customHeight="false" outlineLevel="0" collapsed="false">
      <c r="A285" s="7" t="s">
        <v>412</v>
      </c>
    </row>
    <row r="286" customFormat="false" ht="15" hidden="false" customHeight="false" outlineLevel="0" collapsed="false">
      <c r="A286" s="7" t="s">
        <v>413</v>
      </c>
    </row>
    <row r="287" customFormat="false" ht="15" hidden="false" customHeight="false" outlineLevel="0" collapsed="false">
      <c r="A287" s="7" t="s">
        <v>414</v>
      </c>
    </row>
    <row r="288" customFormat="false" ht="15" hidden="false" customHeight="false" outlineLevel="0" collapsed="false">
      <c r="A288" s="7" t="s">
        <v>415</v>
      </c>
    </row>
    <row r="289" customFormat="false" ht="15" hidden="false" customHeight="false" outlineLevel="0" collapsed="false">
      <c r="A289" s="7" t="s">
        <v>416</v>
      </c>
    </row>
    <row r="290" customFormat="false" ht="15" hidden="false" customHeight="false" outlineLevel="0" collapsed="false">
      <c r="A290" s="7" t="s">
        <v>417</v>
      </c>
    </row>
    <row r="291" customFormat="false" ht="15" hidden="false" customHeight="false" outlineLevel="0" collapsed="false">
      <c r="A291" s="7" t="s">
        <v>418</v>
      </c>
    </row>
    <row r="292" customFormat="false" ht="15" hidden="false" customHeight="false" outlineLevel="0" collapsed="false">
      <c r="A292" s="7" t="s">
        <v>419</v>
      </c>
    </row>
    <row r="293" customFormat="false" ht="15" hidden="false" customHeight="false" outlineLevel="0" collapsed="false">
      <c r="A293" s="7" t="s">
        <v>420</v>
      </c>
    </row>
    <row r="294" customFormat="false" ht="15" hidden="false" customHeight="false" outlineLevel="0" collapsed="false">
      <c r="A294" s="7" t="s">
        <v>421</v>
      </c>
    </row>
    <row r="295" customFormat="false" ht="15" hidden="false" customHeight="false" outlineLevel="0" collapsed="false">
      <c r="A295" s="7" t="s">
        <v>422</v>
      </c>
    </row>
    <row r="296" customFormat="false" ht="15" hidden="false" customHeight="false" outlineLevel="0" collapsed="false">
      <c r="A296" s="7" t="s">
        <v>423</v>
      </c>
    </row>
    <row r="297" customFormat="false" ht="15" hidden="false" customHeight="false" outlineLevel="0" collapsed="false">
      <c r="A297" s="7" t="s">
        <v>424</v>
      </c>
    </row>
    <row r="298" customFormat="false" ht="15" hidden="false" customHeight="false" outlineLevel="0" collapsed="false">
      <c r="A298" s="7" t="s">
        <v>425</v>
      </c>
    </row>
    <row r="299" customFormat="false" ht="15" hidden="false" customHeight="false" outlineLevel="0" collapsed="false">
      <c r="A299" s="7" t="s">
        <v>426</v>
      </c>
    </row>
    <row r="300" customFormat="false" ht="15" hidden="false" customHeight="false" outlineLevel="0" collapsed="false">
      <c r="A300" s="7" t="s">
        <v>427</v>
      </c>
    </row>
    <row r="301" customFormat="false" ht="15" hidden="false" customHeight="false" outlineLevel="0" collapsed="false">
      <c r="A301" s="7" t="s">
        <v>428</v>
      </c>
    </row>
    <row r="302" customFormat="false" ht="15" hidden="false" customHeight="false" outlineLevel="0" collapsed="false">
      <c r="A302" s="7" t="s">
        <v>429</v>
      </c>
    </row>
    <row r="303" customFormat="false" ht="15" hidden="false" customHeight="false" outlineLevel="0" collapsed="false">
      <c r="A303" s="7" t="s">
        <v>430</v>
      </c>
    </row>
    <row r="304" customFormat="false" ht="15" hidden="false" customHeight="false" outlineLevel="0" collapsed="false">
      <c r="A304" s="7" t="s">
        <v>431</v>
      </c>
    </row>
    <row r="305" customFormat="false" ht="15" hidden="false" customHeight="false" outlineLevel="0" collapsed="false">
      <c r="A305" s="7" t="s">
        <v>432</v>
      </c>
    </row>
    <row r="306" customFormat="false" ht="15" hidden="false" customHeight="false" outlineLevel="0" collapsed="false">
      <c r="A306" s="7" t="s">
        <v>433</v>
      </c>
    </row>
    <row r="307" customFormat="false" ht="15" hidden="false" customHeight="false" outlineLevel="0" collapsed="false">
      <c r="A307" s="7" t="s">
        <v>434</v>
      </c>
    </row>
    <row r="308" customFormat="false" ht="15" hidden="false" customHeight="false" outlineLevel="0" collapsed="false">
      <c r="A308" s="7" t="s">
        <v>435</v>
      </c>
    </row>
    <row r="309" customFormat="false" ht="15" hidden="false" customHeight="false" outlineLevel="0" collapsed="false">
      <c r="A309" s="7" t="s">
        <v>436</v>
      </c>
    </row>
    <row r="310" customFormat="false" ht="15" hidden="false" customHeight="false" outlineLevel="0" collapsed="false">
      <c r="A310" s="7" t="s">
        <v>437</v>
      </c>
    </row>
    <row r="311" customFormat="false" ht="15" hidden="false" customHeight="false" outlineLevel="0" collapsed="false">
      <c r="A311" s="7" t="s">
        <v>438</v>
      </c>
    </row>
    <row r="312" customFormat="false" ht="15" hidden="false" customHeight="false" outlineLevel="0" collapsed="false">
      <c r="A312" s="7" t="s">
        <v>439</v>
      </c>
    </row>
    <row r="313" customFormat="false" ht="15" hidden="false" customHeight="false" outlineLevel="0" collapsed="false">
      <c r="A313" s="7" t="s">
        <v>440</v>
      </c>
    </row>
    <row r="314" customFormat="false" ht="15" hidden="false" customHeight="false" outlineLevel="0" collapsed="false">
      <c r="A314" s="7" t="s">
        <v>441</v>
      </c>
    </row>
    <row r="315" customFormat="false" ht="15" hidden="false" customHeight="false" outlineLevel="0" collapsed="false">
      <c r="A315" s="7" t="s">
        <v>442</v>
      </c>
    </row>
    <row r="316" customFormat="false" ht="15" hidden="false" customHeight="false" outlineLevel="0" collapsed="false">
      <c r="A316" s="7" t="s">
        <v>443</v>
      </c>
    </row>
    <row r="317" customFormat="false" ht="15" hidden="false" customHeight="false" outlineLevel="0" collapsed="false">
      <c r="A317" s="7" t="s">
        <v>444</v>
      </c>
    </row>
    <row r="318" customFormat="false" ht="15" hidden="false" customHeight="false" outlineLevel="0" collapsed="false">
      <c r="A318" s="7" t="s">
        <v>445</v>
      </c>
    </row>
    <row r="319" customFormat="false" ht="15" hidden="false" customHeight="false" outlineLevel="0" collapsed="false">
      <c r="A319" s="7" t="s">
        <v>446</v>
      </c>
    </row>
    <row r="320" customFormat="false" ht="15" hidden="false" customHeight="false" outlineLevel="0" collapsed="false">
      <c r="A320" s="7" t="s">
        <v>447</v>
      </c>
    </row>
    <row r="321" customFormat="false" ht="15" hidden="false" customHeight="false" outlineLevel="0" collapsed="false">
      <c r="A321" s="7" t="s">
        <v>448</v>
      </c>
    </row>
    <row r="322" customFormat="false" ht="15" hidden="false" customHeight="false" outlineLevel="0" collapsed="false">
      <c r="A322" s="7" t="s">
        <v>449</v>
      </c>
    </row>
    <row r="323" customFormat="false" ht="15" hidden="false" customHeight="false" outlineLevel="0" collapsed="false">
      <c r="A323" s="7" t="s">
        <v>450</v>
      </c>
    </row>
    <row r="324" customFormat="false" ht="15" hidden="false" customHeight="false" outlineLevel="0" collapsed="false">
      <c r="A324" s="7" t="s">
        <v>451</v>
      </c>
    </row>
    <row r="325" customFormat="false" ht="15" hidden="false" customHeight="false" outlineLevel="0" collapsed="false">
      <c r="A325" s="7" t="s">
        <v>452</v>
      </c>
    </row>
    <row r="326" customFormat="false" ht="15" hidden="false" customHeight="false" outlineLevel="0" collapsed="false">
      <c r="A326" s="7" t="s">
        <v>453</v>
      </c>
    </row>
    <row r="327" customFormat="false" ht="15" hidden="false" customHeight="false" outlineLevel="0" collapsed="false">
      <c r="A327" s="7" t="s">
        <v>454</v>
      </c>
    </row>
    <row r="328" customFormat="false" ht="15" hidden="false" customHeight="false" outlineLevel="0" collapsed="false">
      <c r="A328" s="7" t="s">
        <v>455</v>
      </c>
    </row>
    <row r="329" customFormat="false" ht="15" hidden="false" customHeight="false" outlineLevel="0" collapsed="false">
      <c r="A329" s="7" t="s">
        <v>456</v>
      </c>
    </row>
    <row r="330" customFormat="false" ht="15" hidden="false" customHeight="false" outlineLevel="0" collapsed="false">
      <c r="A330" s="7" t="s">
        <v>457</v>
      </c>
    </row>
    <row r="331" customFormat="false" ht="15" hidden="false" customHeight="false" outlineLevel="0" collapsed="false">
      <c r="A331" s="7" t="s">
        <v>458</v>
      </c>
    </row>
    <row r="332" customFormat="false" ht="15" hidden="false" customHeight="false" outlineLevel="0" collapsed="false">
      <c r="A332" s="7" t="s">
        <v>459</v>
      </c>
    </row>
    <row r="333" customFormat="false" ht="15" hidden="false" customHeight="false" outlineLevel="0" collapsed="false">
      <c r="A333" s="7" t="s">
        <v>460</v>
      </c>
    </row>
    <row r="334" customFormat="false" ht="15" hidden="false" customHeight="false" outlineLevel="0" collapsed="false">
      <c r="A334" s="7" t="s">
        <v>461</v>
      </c>
    </row>
    <row r="335" customFormat="false" ht="15" hidden="false" customHeight="false" outlineLevel="0" collapsed="false">
      <c r="A335" s="7" t="s">
        <v>462</v>
      </c>
    </row>
    <row r="336" customFormat="false" ht="15" hidden="false" customHeight="false" outlineLevel="0" collapsed="false">
      <c r="A336" s="7" t="s">
        <v>463</v>
      </c>
    </row>
    <row r="337" customFormat="false" ht="15" hidden="false" customHeight="false" outlineLevel="0" collapsed="false">
      <c r="A337" s="7" t="s">
        <v>464</v>
      </c>
    </row>
    <row r="338" customFormat="false" ht="15" hidden="false" customHeight="false" outlineLevel="0" collapsed="false">
      <c r="A338" s="7" t="s">
        <v>465</v>
      </c>
    </row>
    <row r="339" customFormat="false" ht="15" hidden="false" customHeight="false" outlineLevel="0" collapsed="false">
      <c r="A339" s="7" t="s">
        <v>466</v>
      </c>
    </row>
    <row r="340" customFormat="false" ht="15" hidden="false" customHeight="false" outlineLevel="0" collapsed="false">
      <c r="A340" s="7" t="s">
        <v>467</v>
      </c>
    </row>
    <row r="341" customFormat="false" ht="15" hidden="false" customHeight="false" outlineLevel="0" collapsed="false">
      <c r="A341" s="7" t="s">
        <v>468</v>
      </c>
    </row>
    <row r="342" customFormat="false" ht="15" hidden="false" customHeight="false" outlineLevel="0" collapsed="false">
      <c r="A342" s="7" t="s">
        <v>469</v>
      </c>
    </row>
    <row r="343" customFormat="false" ht="15" hidden="false" customHeight="false" outlineLevel="0" collapsed="false">
      <c r="A343" s="7" t="s">
        <v>470</v>
      </c>
    </row>
    <row r="344" customFormat="false" ht="15" hidden="false" customHeight="false" outlineLevel="0" collapsed="false">
      <c r="A344" s="7" t="s">
        <v>471</v>
      </c>
    </row>
    <row r="345" customFormat="false" ht="15" hidden="false" customHeight="false" outlineLevel="0" collapsed="false">
      <c r="A345" s="7" t="s">
        <v>472</v>
      </c>
    </row>
    <row r="346" customFormat="false" ht="15" hidden="false" customHeight="false" outlineLevel="0" collapsed="false">
      <c r="A346" s="7" t="s">
        <v>473</v>
      </c>
    </row>
    <row r="347" customFormat="false" ht="15" hidden="false" customHeight="false" outlineLevel="0" collapsed="false">
      <c r="A347" s="7" t="s">
        <v>474</v>
      </c>
    </row>
    <row r="348" customFormat="false" ht="15" hidden="false" customHeight="false" outlineLevel="0" collapsed="false">
      <c r="A348" s="7" t="s">
        <v>475</v>
      </c>
    </row>
    <row r="349" customFormat="false" ht="15" hidden="false" customHeight="false" outlineLevel="0" collapsed="false">
      <c r="A349" s="7" t="s">
        <v>476</v>
      </c>
    </row>
    <row r="350" customFormat="false" ht="15" hidden="false" customHeight="false" outlineLevel="0" collapsed="false">
      <c r="A350" s="7" t="s">
        <v>477</v>
      </c>
    </row>
    <row r="351" customFormat="false" ht="15" hidden="false" customHeight="false" outlineLevel="0" collapsed="false">
      <c r="A351" s="7" t="s">
        <v>478</v>
      </c>
    </row>
    <row r="352" customFormat="false" ht="15" hidden="false" customHeight="false" outlineLevel="0" collapsed="false">
      <c r="A352" s="7" t="s">
        <v>479</v>
      </c>
    </row>
    <row r="353" customFormat="false" ht="15" hidden="false" customHeight="false" outlineLevel="0" collapsed="false">
      <c r="A353" s="7" t="s">
        <v>480</v>
      </c>
    </row>
    <row r="354" customFormat="false" ht="15" hidden="false" customHeight="false" outlineLevel="0" collapsed="false">
      <c r="A354" s="7" t="s">
        <v>481</v>
      </c>
    </row>
    <row r="355" customFormat="false" ht="15" hidden="false" customHeight="false" outlineLevel="0" collapsed="false">
      <c r="A355" s="7" t="s">
        <v>482</v>
      </c>
    </row>
    <row r="356" customFormat="false" ht="15" hidden="false" customHeight="false" outlineLevel="0" collapsed="false">
      <c r="A356" s="7" t="s">
        <v>483</v>
      </c>
    </row>
    <row r="357" customFormat="false" ht="15" hidden="false" customHeight="false" outlineLevel="0" collapsed="false">
      <c r="A357" s="7" t="s">
        <v>484</v>
      </c>
    </row>
    <row r="358" customFormat="false" ht="15" hidden="false" customHeight="false" outlineLevel="0" collapsed="false">
      <c r="A358" s="7" t="s">
        <v>485</v>
      </c>
    </row>
    <row r="359" customFormat="false" ht="15" hidden="false" customHeight="false" outlineLevel="0" collapsed="false">
      <c r="A359" s="7" t="s">
        <v>486</v>
      </c>
    </row>
    <row r="360" customFormat="false" ht="15" hidden="false" customHeight="false" outlineLevel="0" collapsed="false">
      <c r="A360" s="7" t="s">
        <v>487</v>
      </c>
    </row>
    <row r="361" customFormat="false" ht="15" hidden="false" customHeight="false" outlineLevel="0" collapsed="false">
      <c r="A361" s="7" t="s">
        <v>488</v>
      </c>
    </row>
    <row r="362" customFormat="false" ht="15" hidden="false" customHeight="false" outlineLevel="0" collapsed="false">
      <c r="A362" s="7" t="s">
        <v>489</v>
      </c>
    </row>
    <row r="363" customFormat="false" ht="15" hidden="false" customHeight="false" outlineLevel="0" collapsed="false">
      <c r="A363" s="7" t="s">
        <v>490</v>
      </c>
    </row>
    <row r="364" customFormat="false" ht="15" hidden="false" customHeight="false" outlineLevel="0" collapsed="false">
      <c r="A364" s="7" t="s">
        <v>491</v>
      </c>
    </row>
    <row r="365" customFormat="false" ht="15" hidden="false" customHeight="false" outlineLevel="0" collapsed="false">
      <c r="A365" s="7" t="s">
        <v>492</v>
      </c>
    </row>
    <row r="366" customFormat="false" ht="15" hidden="false" customHeight="false" outlineLevel="0" collapsed="false">
      <c r="A366" s="7" t="s">
        <v>493</v>
      </c>
    </row>
    <row r="367" customFormat="false" ht="15" hidden="false" customHeight="false" outlineLevel="0" collapsed="false">
      <c r="A367" s="7" t="s">
        <v>494</v>
      </c>
    </row>
    <row r="368" customFormat="false" ht="15" hidden="false" customHeight="false" outlineLevel="0" collapsed="false">
      <c r="A368" s="7" t="s">
        <v>495</v>
      </c>
    </row>
    <row r="369" customFormat="false" ht="15" hidden="false" customHeight="false" outlineLevel="0" collapsed="false">
      <c r="A369" s="7" t="s">
        <v>496</v>
      </c>
    </row>
    <row r="370" customFormat="false" ht="15" hidden="false" customHeight="false" outlineLevel="0" collapsed="false">
      <c r="A370" s="7" t="s">
        <v>497</v>
      </c>
    </row>
    <row r="371" customFormat="false" ht="15" hidden="false" customHeight="false" outlineLevel="0" collapsed="false">
      <c r="A371" s="7" t="s">
        <v>498</v>
      </c>
    </row>
    <row r="372" customFormat="false" ht="15" hidden="false" customHeight="false" outlineLevel="0" collapsed="false">
      <c r="A372" s="7" t="s">
        <v>499</v>
      </c>
    </row>
    <row r="373" customFormat="false" ht="15" hidden="false" customHeight="false" outlineLevel="0" collapsed="false">
      <c r="A373" s="7" t="s">
        <v>500</v>
      </c>
    </row>
    <row r="374" customFormat="false" ht="15" hidden="false" customHeight="false" outlineLevel="0" collapsed="false">
      <c r="A374" s="7" t="s">
        <v>501</v>
      </c>
    </row>
    <row r="375" customFormat="false" ht="15" hidden="false" customHeight="false" outlineLevel="0" collapsed="false">
      <c r="A375" s="7" t="s">
        <v>502</v>
      </c>
    </row>
    <row r="376" customFormat="false" ht="15" hidden="false" customHeight="false" outlineLevel="0" collapsed="false">
      <c r="A376" s="7" t="s">
        <v>503</v>
      </c>
    </row>
    <row r="377" customFormat="false" ht="15" hidden="false" customHeight="false" outlineLevel="0" collapsed="false">
      <c r="A377" s="7" t="s">
        <v>504</v>
      </c>
    </row>
    <row r="378" customFormat="false" ht="15" hidden="false" customHeight="false" outlineLevel="0" collapsed="false">
      <c r="A378" s="7" t="s">
        <v>505</v>
      </c>
    </row>
    <row r="379" customFormat="false" ht="15" hidden="false" customHeight="false" outlineLevel="0" collapsed="false">
      <c r="A379" s="7" t="s">
        <v>506</v>
      </c>
    </row>
    <row r="380" customFormat="false" ht="15" hidden="false" customHeight="false" outlineLevel="0" collapsed="false">
      <c r="A380" s="7" t="s">
        <v>507</v>
      </c>
    </row>
    <row r="381" customFormat="false" ht="15" hidden="false" customHeight="false" outlineLevel="0" collapsed="false">
      <c r="A381" s="7" t="s">
        <v>508</v>
      </c>
    </row>
    <row r="382" customFormat="false" ht="15" hidden="false" customHeight="false" outlineLevel="0" collapsed="false">
      <c r="A382" s="7" t="s">
        <v>509</v>
      </c>
    </row>
    <row r="383" customFormat="false" ht="15" hidden="false" customHeight="false" outlineLevel="0" collapsed="false">
      <c r="A383" s="7" t="s">
        <v>510</v>
      </c>
    </row>
    <row r="384" customFormat="false" ht="15" hidden="false" customHeight="false" outlineLevel="0" collapsed="false">
      <c r="A384" s="7" t="s">
        <v>511</v>
      </c>
    </row>
    <row r="385" customFormat="false" ht="15" hidden="false" customHeight="false" outlineLevel="0" collapsed="false">
      <c r="A385" s="7" t="s">
        <v>512</v>
      </c>
    </row>
    <row r="386" customFormat="false" ht="15" hidden="false" customHeight="false" outlineLevel="0" collapsed="false">
      <c r="A386" s="7" t="s">
        <v>513</v>
      </c>
    </row>
    <row r="387" customFormat="false" ht="15" hidden="false" customHeight="false" outlineLevel="0" collapsed="false">
      <c r="A387" s="7" t="s">
        <v>514</v>
      </c>
    </row>
    <row r="388" customFormat="false" ht="15" hidden="false" customHeight="false" outlineLevel="0" collapsed="false">
      <c r="A388" s="7" t="s">
        <v>515</v>
      </c>
    </row>
    <row r="389" customFormat="false" ht="15" hidden="false" customHeight="false" outlineLevel="0" collapsed="false">
      <c r="A389" s="7" t="s">
        <v>516</v>
      </c>
    </row>
    <row r="390" customFormat="false" ht="15" hidden="false" customHeight="false" outlineLevel="0" collapsed="false">
      <c r="A390" s="7" t="s">
        <v>517</v>
      </c>
    </row>
    <row r="391" customFormat="false" ht="15" hidden="false" customHeight="false" outlineLevel="0" collapsed="false">
      <c r="A391" s="7" t="s">
        <v>518</v>
      </c>
    </row>
    <row r="392" customFormat="false" ht="15" hidden="false" customHeight="false" outlineLevel="0" collapsed="false">
      <c r="A392" s="7" t="s">
        <v>519</v>
      </c>
    </row>
    <row r="393" customFormat="false" ht="15" hidden="false" customHeight="false" outlineLevel="0" collapsed="false">
      <c r="A393" s="7" t="s">
        <v>520</v>
      </c>
    </row>
    <row r="394" customFormat="false" ht="15" hidden="false" customHeight="false" outlineLevel="0" collapsed="false">
      <c r="A394" s="7" t="s">
        <v>521</v>
      </c>
    </row>
    <row r="395" customFormat="false" ht="15" hidden="false" customHeight="false" outlineLevel="0" collapsed="false">
      <c r="A395" s="7" t="s">
        <v>522</v>
      </c>
    </row>
    <row r="396" customFormat="false" ht="15" hidden="false" customHeight="false" outlineLevel="0" collapsed="false">
      <c r="A396" s="7" t="s">
        <v>523</v>
      </c>
    </row>
    <row r="397" customFormat="false" ht="15" hidden="false" customHeight="false" outlineLevel="0" collapsed="false">
      <c r="A397" s="7" t="s">
        <v>524</v>
      </c>
    </row>
    <row r="398" customFormat="false" ht="15" hidden="false" customHeight="false" outlineLevel="0" collapsed="false">
      <c r="A398" s="7" t="s">
        <v>525</v>
      </c>
    </row>
    <row r="399" customFormat="false" ht="15" hidden="false" customHeight="false" outlineLevel="0" collapsed="false">
      <c r="A399" s="7" t="s">
        <v>526</v>
      </c>
    </row>
    <row r="400" customFormat="false" ht="15" hidden="false" customHeight="false" outlineLevel="0" collapsed="false">
      <c r="A400" s="7" t="s">
        <v>527</v>
      </c>
    </row>
    <row r="401" customFormat="false" ht="15" hidden="false" customHeight="false" outlineLevel="0" collapsed="false">
      <c r="A401" s="7" t="s">
        <v>528</v>
      </c>
    </row>
    <row r="402" customFormat="false" ht="15" hidden="false" customHeight="false" outlineLevel="0" collapsed="false">
      <c r="A402" s="7" t="s">
        <v>529</v>
      </c>
    </row>
    <row r="403" customFormat="false" ht="15" hidden="false" customHeight="false" outlineLevel="0" collapsed="false">
      <c r="A403" s="7" t="s">
        <v>530</v>
      </c>
    </row>
    <row r="404" customFormat="false" ht="15" hidden="false" customHeight="false" outlineLevel="0" collapsed="false">
      <c r="A404" s="7" t="s">
        <v>531</v>
      </c>
    </row>
    <row r="405" customFormat="false" ht="15" hidden="false" customHeight="false" outlineLevel="0" collapsed="false">
      <c r="A405" s="7" t="s">
        <v>532</v>
      </c>
    </row>
    <row r="406" customFormat="false" ht="15" hidden="false" customHeight="false" outlineLevel="0" collapsed="false">
      <c r="A406" s="7" t="s">
        <v>533</v>
      </c>
    </row>
    <row r="407" customFormat="false" ht="15" hidden="false" customHeight="false" outlineLevel="0" collapsed="false">
      <c r="A407" s="7" t="s">
        <v>534</v>
      </c>
    </row>
    <row r="408" customFormat="false" ht="15" hidden="false" customHeight="false" outlineLevel="0" collapsed="false">
      <c r="A408" s="7" t="s">
        <v>535</v>
      </c>
    </row>
    <row r="409" customFormat="false" ht="15" hidden="false" customHeight="false" outlineLevel="0" collapsed="false">
      <c r="A409" s="7" t="s">
        <v>536</v>
      </c>
    </row>
    <row r="410" customFormat="false" ht="15" hidden="false" customHeight="false" outlineLevel="0" collapsed="false">
      <c r="A410" s="7" t="s">
        <v>537</v>
      </c>
    </row>
    <row r="411" customFormat="false" ht="15" hidden="false" customHeight="false" outlineLevel="0" collapsed="false">
      <c r="A411" s="7" t="s">
        <v>538</v>
      </c>
    </row>
    <row r="412" customFormat="false" ht="15" hidden="false" customHeight="false" outlineLevel="0" collapsed="false">
      <c r="A412" s="7" t="s">
        <v>539</v>
      </c>
    </row>
    <row r="413" customFormat="false" ht="15" hidden="false" customHeight="false" outlineLevel="0" collapsed="false">
      <c r="A413" s="7" t="s">
        <v>540</v>
      </c>
    </row>
    <row r="414" customFormat="false" ht="15" hidden="false" customHeight="false" outlineLevel="0" collapsed="false">
      <c r="A414" s="7" t="s">
        <v>541</v>
      </c>
    </row>
    <row r="415" customFormat="false" ht="15" hidden="false" customHeight="false" outlineLevel="0" collapsed="false">
      <c r="A415" s="7" t="s">
        <v>542</v>
      </c>
    </row>
    <row r="416" customFormat="false" ht="15" hidden="false" customHeight="false" outlineLevel="0" collapsed="false">
      <c r="A416" s="7" t="s">
        <v>543</v>
      </c>
    </row>
    <row r="417" customFormat="false" ht="15" hidden="false" customHeight="false" outlineLevel="0" collapsed="false">
      <c r="A417" s="7" t="s">
        <v>544</v>
      </c>
    </row>
    <row r="418" customFormat="false" ht="15" hidden="false" customHeight="false" outlineLevel="0" collapsed="false">
      <c r="A418" s="7" t="s">
        <v>545</v>
      </c>
    </row>
    <row r="419" customFormat="false" ht="15" hidden="false" customHeight="false" outlineLevel="0" collapsed="false">
      <c r="A419" s="7" t="s">
        <v>546</v>
      </c>
    </row>
    <row r="420" customFormat="false" ht="15" hidden="false" customHeight="false" outlineLevel="0" collapsed="false">
      <c r="A420" s="7" t="s">
        <v>547</v>
      </c>
    </row>
    <row r="421" customFormat="false" ht="15" hidden="false" customHeight="false" outlineLevel="0" collapsed="false">
      <c r="A421" s="7" t="s">
        <v>548</v>
      </c>
    </row>
    <row r="422" customFormat="false" ht="15" hidden="false" customHeight="false" outlineLevel="0" collapsed="false">
      <c r="A422" s="7" t="s">
        <v>549</v>
      </c>
    </row>
    <row r="423" customFormat="false" ht="15" hidden="false" customHeight="false" outlineLevel="0" collapsed="false">
      <c r="A423" s="7" t="s">
        <v>550</v>
      </c>
    </row>
    <row r="424" customFormat="false" ht="15" hidden="false" customHeight="false" outlineLevel="0" collapsed="false">
      <c r="A424" s="7" t="s">
        <v>551</v>
      </c>
    </row>
    <row r="425" customFormat="false" ht="15" hidden="false" customHeight="false" outlineLevel="0" collapsed="false">
      <c r="A425" s="7" t="s">
        <v>552</v>
      </c>
    </row>
    <row r="426" customFormat="false" ht="15" hidden="false" customHeight="false" outlineLevel="0" collapsed="false">
      <c r="A426" s="7" t="s">
        <v>553</v>
      </c>
    </row>
    <row r="427" customFormat="false" ht="15" hidden="false" customHeight="false" outlineLevel="0" collapsed="false">
      <c r="A427" s="7" t="s">
        <v>554</v>
      </c>
    </row>
    <row r="428" customFormat="false" ht="15" hidden="false" customHeight="false" outlineLevel="0" collapsed="false">
      <c r="A428" s="7" t="s">
        <v>555</v>
      </c>
    </row>
    <row r="429" customFormat="false" ht="15" hidden="false" customHeight="false" outlineLevel="0" collapsed="false">
      <c r="A429" s="7" t="s">
        <v>556</v>
      </c>
    </row>
    <row r="430" customFormat="false" ht="15" hidden="false" customHeight="false" outlineLevel="0" collapsed="false">
      <c r="A430" s="7" t="s">
        <v>557</v>
      </c>
    </row>
    <row r="431" customFormat="false" ht="15" hidden="false" customHeight="false" outlineLevel="0" collapsed="false">
      <c r="A431" s="7" t="s">
        <v>558</v>
      </c>
    </row>
    <row r="432" customFormat="false" ht="15" hidden="false" customHeight="false" outlineLevel="0" collapsed="false">
      <c r="A432" s="7" t="s">
        <v>559</v>
      </c>
    </row>
    <row r="433" customFormat="false" ht="15" hidden="false" customHeight="false" outlineLevel="0" collapsed="false">
      <c r="A433" s="7" t="s">
        <v>560</v>
      </c>
    </row>
    <row r="434" customFormat="false" ht="15" hidden="false" customHeight="false" outlineLevel="0" collapsed="false">
      <c r="A434" s="7" t="s">
        <v>561</v>
      </c>
    </row>
    <row r="435" customFormat="false" ht="15" hidden="false" customHeight="false" outlineLevel="0" collapsed="false">
      <c r="A435" s="7" t="s">
        <v>562</v>
      </c>
    </row>
    <row r="436" customFormat="false" ht="15" hidden="false" customHeight="false" outlineLevel="0" collapsed="false">
      <c r="A436" s="7" t="s">
        <v>563</v>
      </c>
    </row>
    <row r="437" customFormat="false" ht="15" hidden="false" customHeight="false" outlineLevel="0" collapsed="false">
      <c r="A437" s="7" t="s">
        <v>564</v>
      </c>
    </row>
    <row r="438" customFormat="false" ht="15" hidden="false" customHeight="false" outlineLevel="0" collapsed="false">
      <c r="A438" s="7" t="s">
        <v>565</v>
      </c>
    </row>
    <row r="439" customFormat="false" ht="15" hidden="false" customHeight="false" outlineLevel="0" collapsed="false">
      <c r="A439" s="7" t="s">
        <v>566</v>
      </c>
    </row>
    <row r="440" customFormat="false" ht="15" hidden="false" customHeight="false" outlineLevel="0" collapsed="false">
      <c r="A440" s="7" t="s">
        <v>567</v>
      </c>
    </row>
    <row r="441" customFormat="false" ht="15" hidden="false" customHeight="false" outlineLevel="0" collapsed="false">
      <c r="A441" s="7" t="s">
        <v>568</v>
      </c>
    </row>
    <row r="442" customFormat="false" ht="15" hidden="false" customHeight="false" outlineLevel="0" collapsed="false">
      <c r="A442" s="7" t="s">
        <v>569</v>
      </c>
    </row>
    <row r="443" customFormat="false" ht="15" hidden="false" customHeight="false" outlineLevel="0" collapsed="false">
      <c r="A443" s="7" t="s">
        <v>570</v>
      </c>
    </row>
    <row r="444" customFormat="false" ht="15" hidden="false" customHeight="false" outlineLevel="0" collapsed="false">
      <c r="A444" s="7" t="s">
        <v>571</v>
      </c>
    </row>
    <row r="445" customFormat="false" ht="15" hidden="false" customHeight="false" outlineLevel="0" collapsed="false">
      <c r="A445" s="7" t="s">
        <v>572</v>
      </c>
    </row>
    <row r="446" customFormat="false" ht="15" hidden="false" customHeight="false" outlineLevel="0" collapsed="false">
      <c r="A446" s="7" t="s">
        <v>573</v>
      </c>
    </row>
    <row r="447" customFormat="false" ht="15" hidden="false" customHeight="false" outlineLevel="0" collapsed="false">
      <c r="A447" s="7" t="s">
        <v>574</v>
      </c>
    </row>
    <row r="448" customFormat="false" ht="15" hidden="false" customHeight="false" outlineLevel="0" collapsed="false">
      <c r="A448" s="7" t="s">
        <v>575</v>
      </c>
    </row>
    <row r="449" customFormat="false" ht="15" hidden="false" customHeight="false" outlineLevel="0" collapsed="false">
      <c r="A449" s="7" t="s">
        <v>576</v>
      </c>
    </row>
    <row r="450" customFormat="false" ht="15" hidden="false" customHeight="false" outlineLevel="0" collapsed="false">
      <c r="A450" s="7" t="s">
        <v>577</v>
      </c>
    </row>
    <row r="451" customFormat="false" ht="15" hidden="false" customHeight="false" outlineLevel="0" collapsed="false">
      <c r="A451" s="7" t="s">
        <v>578</v>
      </c>
    </row>
    <row r="452" customFormat="false" ht="15" hidden="false" customHeight="false" outlineLevel="0" collapsed="false">
      <c r="A452" s="7" t="s">
        <v>579</v>
      </c>
    </row>
    <row r="453" customFormat="false" ht="15" hidden="false" customHeight="false" outlineLevel="0" collapsed="false">
      <c r="A453" s="7" t="s">
        <v>580</v>
      </c>
    </row>
    <row r="454" customFormat="false" ht="15" hidden="false" customHeight="false" outlineLevel="0" collapsed="false">
      <c r="A454" s="7" t="s">
        <v>581</v>
      </c>
    </row>
    <row r="455" customFormat="false" ht="15" hidden="false" customHeight="false" outlineLevel="0" collapsed="false">
      <c r="A455" s="7" t="s">
        <v>582</v>
      </c>
    </row>
    <row r="456" customFormat="false" ht="15" hidden="false" customHeight="false" outlineLevel="0" collapsed="false">
      <c r="A456" s="7" t="s">
        <v>583</v>
      </c>
    </row>
    <row r="457" customFormat="false" ht="15" hidden="false" customHeight="false" outlineLevel="0" collapsed="false">
      <c r="A457" s="7" t="s">
        <v>584</v>
      </c>
    </row>
    <row r="458" customFormat="false" ht="15" hidden="false" customHeight="false" outlineLevel="0" collapsed="false">
      <c r="A458" s="7" t="s">
        <v>585</v>
      </c>
    </row>
    <row r="459" customFormat="false" ht="15" hidden="false" customHeight="false" outlineLevel="0" collapsed="false">
      <c r="A459" s="7" t="s">
        <v>586</v>
      </c>
    </row>
    <row r="460" customFormat="false" ht="15" hidden="false" customHeight="false" outlineLevel="0" collapsed="false">
      <c r="A460" s="7" t="s">
        <v>587</v>
      </c>
    </row>
    <row r="461" customFormat="false" ht="15" hidden="false" customHeight="false" outlineLevel="0" collapsed="false">
      <c r="A461" s="7" t="s">
        <v>588</v>
      </c>
    </row>
    <row r="462" customFormat="false" ht="15" hidden="false" customHeight="false" outlineLevel="0" collapsed="false">
      <c r="A462" s="7" t="s">
        <v>589</v>
      </c>
    </row>
    <row r="463" customFormat="false" ht="15" hidden="false" customHeight="false" outlineLevel="0" collapsed="false">
      <c r="A463" s="7" t="s">
        <v>590</v>
      </c>
    </row>
    <row r="464" customFormat="false" ht="15" hidden="false" customHeight="false" outlineLevel="0" collapsed="false">
      <c r="A464" s="7" t="s">
        <v>591</v>
      </c>
    </row>
    <row r="465" customFormat="false" ht="15" hidden="false" customHeight="false" outlineLevel="0" collapsed="false">
      <c r="A465" s="7" t="s">
        <v>592</v>
      </c>
    </row>
    <row r="466" customFormat="false" ht="15" hidden="false" customHeight="false" outlineLevel="0" collapsed="false">
      <c r="A466" s="7" t="s">
        <v>593</v>
      </c>
    </row>
    <row r="467" customFormat="false" ht="15" hidden="false" customHeight="false" outlineLevel="0" collapsed="false">
      <c r="A467" s="7" t="s">
        <v>594</v>
      </c>
    </row>
    <row r="468" customFormat="false" ht="15" hidden="false" customHeight="false" outlineLevel="0" collapsed="false">
      <c r="A468" s="7" t="s">
        <v>595</v>
      </c>
    </row>
    <row r="469" customFormat="false" ht="15" hidden="false" customHeight="false" outlineLevel="0" collapsed="false">
      <c r="A469" s="7" t="s">
        <v>596</v>
      </c>
    </row>
    <row r="470" customFormat="false" ht="15" hidden="false" customHeight="false" outlineLevel="0" collapsed="false">
      <c r="A470" s="7" t="s">
        <v>597</v>
      </c>
    </row>
    <row r="471" customFormat="false" ht="15" hidden="false" customHeight="false" outlineLevel="0" collapsed="false">
      <c r="A471" s="7" t="s">
        <v>598</v>
      </c>
    </row>
    <row r="472" customFormat="false" ht="15" hidden="false" customHeight="false" outlineLevel="0" collapsed="false">
      <c r="A472" s="7" t="s">
        <v>599</v>
      </c>
    </row>
    <row r="473" customFormat="false" ht="15" hidden="false" customHeight="false" outlineLevel="0" collapsed="false">
      <c r="A473" s="7" t="s">
        <v>600</v>
      </c>
    </row>
    <row r="474" customFormat="false" ht="15" hidden="false" customHeight="false" outlineLevel="0" collapsed="false">
      <c r="A474" s="7" t="s">
        <v>601</v>
      </c>
    </row>
    <row r="475" customFormat="false" ht="15" hidden="false" customHeight="false" outlineLevel="0" collapsed="false">
      <c r="A475" s="7" t="s">
        <v>602</v>
      </c>
    </row>
    <row r="476" customFormat="false" ht="15" hidden="false" customHeight="false" outlineLevel="0" collapsed="false">
      <c r="A476" s="7" t="s">
        <v>603</v>
      </c>
    </row>
    <row r="477" customFormat="false" ht="15" hidden="false" customHeight="false" outlineLevel="0" collapsed="false">
      <c r="A477" s="7" t="s">
        <v>604</v>
      </c>
    </row>
    <row r="478" customFormat="false" ht="15" hidden="false" customHeight="false" outlineLevel="0" collapsed="false">
      <c r="A478" s="7" t="s">
        <v>605</v>
      </c>
    </row>
    <row r="479" customFormat="false" ht="15" hidden="false" customHeight="false" outlineLevel="0" collapsed="false">
      <c r="A479" s="7" t="s">
        <v>606</v>
      </c>
    </row>
    <row r="480" customFormat="false" ht="15" hidden="false" customHeight="false" outlineLevel="0" collapsed="false">
      <c r="A480" s="7" t="s">
        <v>607</v>
      </c>
    </row>
    <row r="481" customFormat="false" ht="15" hidden="false" customHeight="false" outlineLevel="0" collapsed="false">
      <c r="A481" s="7" t="s">
        <v>608</v>
      </c>
    </row>
    <row r="482" customFormat="false" ht="15" hidden="false" customHeight="false" outlineLevel="0" collapsed="false">
      <c r="A482" s="7" t="s">
        <v>609</v>
      </c>
    </row>
    <row r="483" customFormat="false" ht="15" hidden="false" customHeight="false" outlineLevel="0" collapsed="false">
      <c r="A483" s="7" t="s">
        <v>610</v>
      </c>
    </row>
    <row r="484" customFormat="false" ht="15" hidden="false" customHeight="false" outlineLevel="0" collapsed="false">
      <c r="A484" s="7" t="s">
        <v>611</v>
      </c>
    </row>
    <row r="485" customFormat="false" ht="15" hidden="false" customHeight="false" outlineLevel="0" collapsed="false">
      <c r="A485" s="7" t="s">
        <v>612</v>
      </c>
    </row>
    <row r="486" customFormat="false" ht="15" hidden="false" customHeight="false" outlineLevel="0" collapsed="false">
      <c r="A486" s="7" t="s">
        <v>613</v>
      </c>
    </row>
    <row r="487" customFormat="false" ht="15" hidden="false" customHeight="false" outlineLevel="0" collapsed="false">
      <c r="A487" s="7" t="s">
        <v>614</v>
      </c>
    </row>
    <row r="488" customFormat="false" ht="15" hidden="false" customHeight="false" outlineLevel="0" collapsed="false">
      <c r="A488" s="7" t="s">
        <v>615</v>
      </c>
    </row>
    <row r="489" customFormat="false" ht="15" hidden="false" customHeight="false" outlineLevel="0" collapsed="false">
      <c r="A489" s="7" t="s">
        <v>616</v>
      </c>
    </row>
    <row r="490" customFormat="false" ht="15" hidden="false" customHeight="false" outlineLevel="0" collapsed="false">
      <c r="A490" s="7" t="s">
        <v>617</v>
      </c>
    </row>
    <row r="491" customFormat="false" ht="15" hidden="false" customHeight="false" outlineLevel="0" collapsed="false">
      <c r="A491" s="7" t="s">
        <v>618</v>
      </c>
    </row>
    <row r="492" customFormat="false" ht="15" hidden="false" customHeight="false" outlineLevel="0" collapsed="false">
      <c r="A492" s="7" t="s">
        <v>619</v>
      </c>
    </row>
    <row r="493" customFormat="false" ht="15" hidden="false" customHeight="false" outlineLevel="0" collapsed="false">
      <c r="A493" s="7" t="s">
        <v>620</v>
      </c>
    </row>
    <row r="494" customFormat="false" ht="15" hidden="false" customHeight="false" outlineLevel="0" collapsed="false">
      <c r="A494" s="7" t="s">
        <v>621</v>
      </c>
    </row>
    <row r="495" customFormat="false" ht="15" hidden="false" customHeight="false" outlineLevel="0" collapsed="false">
      <c r="A495" s="7" t="s">
        <v>622</v>
      </c>
    </row>
    <row r="496" customFormat="false" ht="15" hidden="false" customHeight="false" outlineLevel="0" collapsed="false">
      <c r="A496" s="7" t="s">
        <v>623</v>
      </c>
    </row>
    <row r="497" customFormat="false" ht="15" hidden="false" customHeight="false" outlineLevel="0" collapsed="false">
      <c r="A497" s="7" t="s">
        <v>624</v>
      </c>
    </row>
    <row r="498" customFormat="false" ht="15" hidden="false" customHeight="false" outlineLevel="0" collapsed="false">
      <c r="A498" s="7" t="s">
        <v>625</v>
      </c>
    </row>
    <row r="499" customFormat="false" ht="15" hidden="false" customHeight="false" outlineLevel="0" collapsed="false">
      <c r="A499" s="7" t="s">
        <v>626</v>
      </c>
    </row>
    <row r="500" customFormat="false" ht="15" hidden="false" customHeight="false" outlineLevel="0" collapsed="false">
      <c r="A500" s="7" t="s">
        <v>627</v>
      </c>
    </row>
    <row r="501" customFormat="false" ht="15" hidden="false" customHeight="false" outlineLevel="0" collapsed="false">
      <c r="A501" s="7" t="s">
        <v>628</v>
      </c>
    </row>
    <row r="502" customFormat="false" ht="15" hidden="false" customHeight="false" outlineLevel="0" collapsed="false">
      <c r="A502" s="7" t="s">
        <v>629</v>
      </c>
    </row>
  </sheetData>
  <dataValidations count="4">
    <dataValidation allowBlank="true" errorStyle="stop" operator="between" showDropDown="false" showErrorMessage="false" showInputMessage="false" sqref="B2:B502" type="list">
      <formula1>"Manyavar,Fabindia,Tasva,Ethnix"</formula1>
      <formula2>0</formula2>
    </dataValidation>
    <dataValidation allowBlank="true" errorStyle="stop" operator="between" showDropDown="false" showErrorMessage="false" showInputMessage="false" sqref="E2:E502" type="list">
      <formula1>"1,2,3,4,5"</formula1>
      <formula2>0</formula2>
    </dataValidation>
    <dataValidation allowBlank="true" errorStyle="stop" operator="between" showDropDown="false" showErrorMessage="false" showInputMessage="false" sqref="G2:G502" type="list">
      <formula1>"English,Hinglish,Hindi (Devanagari),Other"</formula1>
      <formula2>0</formula2>
    </dataValidation>
    <dataValidation allowBlank="true" errorStyle="stop" operator="between" showDropDown="false" showErrorMessage="false" showInputMessage="false" sqref="I2:I502" type="list">
      <formula1>"Brand site,Myntra,Amazon,Other"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2"/>
    <col collapsed="false" customWidth="true" hidden="false" outlineLevel="0" max="4" min="4" style="0" width="14"/>
    <col collapsed="false" customWidth="true" hidden="false" outlineLevel="0" max="5" min="5" style="0" width="70"/>
    <col collapsed="false" customWidth="true" hidden="false" outlineLevel="0" max="6" min="6" style="0" width="18"/>
    <col collapsed="false" customWidth="true" hidden="false" outlineLevel="0" max="7" min="7" style="0" width="30"/>
    <col collapsed="false" customWidth="true" hidden="false" outlineLevel="0" max="8" min="8" style="0" width="24"/>
  </cols>
  <sheetData>
    <row r="1" customFormat="false" ht="31.5" hidden="false" customHeight="true" outlineLevel="0" collapsed="false">
      <c r="A1" s="4" t="s">
        <v>630</v>
      </c>
      <c r="B1" s="4" t="s">
        <v>114</v>
      </c>
      <c r="C1" s="4" t="s">
        <v>14</v>
      </c>
      <c r="D1" s="4" t="s">
        <v>118</v>
      </c>
      <c r="E1" s="4" t="s">
        <v>631</v>
      </c>
      <c r="F1" s="4" t="s">
        <v>632</v>
      </c>
      <c r="G1" s="4" t="s">
        <v>633</v>
      </c>
      <c r="H1" s="4" t="s">
        <v>25</v>
      </c>
    </row>
    <row r="2" customFormat="false" ht="15" hidden="false" customHeight="false" outlineLevel="0" collapsed="false">
      <c r="A2" s="7" t="s">
        <v>634</v>
      </c>
      <c r="B2" s="8"/>
      <c r="C2" s="8"/>
      <c r="D2" s="8"/>
      <c r="E2" s="8"/>
      <c r="F2" s="8"/>
      <c r="G2" s="8"/>
    </row>
    <row r="3" customFormat="false" ht="15" hidden="false" customHeight="false" outlineLevel="0" collapsed="false">
      <c r="A3" s="7" t="s">
        <v>635</v>
      </c>
      <c r="B3" s="8"/>
      <c r="C3" s="8"/>
      <c r="D3" s="8"/>
      <c r="E3" s="8"/>
      <c r="F3" s="8"/>
      <c r="G3" s="8"/>
    </row>
    <row r="4" customFormat="false" ht="15" hidden="false" customHeight="false" outlineLevel="0" collapsed="false">
      <c r="A4" s="7" t="s">
        <v>636</v>
      </c>
      <c r="B4" s="8"/>
      <c r="C4" s="8"/>
      <c r="D4" s="8"/>
      <c r="E4" s="8"/>
      <c r="F4" s="8"/>
      <c r="G4" s="8"/>
    </row>
    <row r="5" customFormat="false" ht="15" hidden="false" customHeight="false" outlineLevel="0" collapsed="false">
      <c r="A5" s="7" t="s">
        <v>637</v>
      </c>
      <c r="B5" s="8"/>
      <c r="C5" s="8"/>
      <c r="D5" s="8"/>
      <c r="E5" s="8"/>
      <c r="F5" s="8"/>
      <c r="G5" s="8"/>
    </row>
    <row r="6" customFormat="false" ht="15" hidden="false" customHeight="false" outlineLevel="0" collapsed="false">
      <c r="A6" s="7" t="s">
        <v>638</v>
      </c>
      <c r="B6" s="8"/>
      <c r="C6" s="8"/>
      <c r="D6" s="8"/>
      <c r="E6" s="8"/>
      <c r="F6" s="8"/>
      <c r="G6" s="8"/>
    </row>
    <row r="7" customFormat="false" ht="15" hidden="false" customHeight="false" outlineLevel="0" collapsed="false">
      <c r="A7" s="7" t="s">
        <v>639</v>
      </c>
      <c r="B7" s="8"/>
      <c r="C7" s="8"/>
      <c r="D7" s="8"/>
      <c r="E7" s="8"/>
      <c r="F7" s="8"/>
      <c r="G7" s="8"/>
    </row>
    <row r="8" customFormat="false" ht="15" hidden="false" customHeight="false" outlineLevel="0" collapsed="false">
      <c r="A8" s="7" t="s">
        <v>640</v>
      </c>
      <c r="B8" s="8"/>
      <c r="C8" s="8"/>
      <c r="D8" s="8"/>
      <c r="E8" s="8"/>
      <c r="F8" s="8"/>
      <c r="G8" s="8"/>
    </row>
    <row r="9" customFormat="false" ht="15" hidden="false" customHeight="false" outlineLevel="0" collapsed="false">
      <c r="A9" s="7" t="s">
        <v>641</v>
      </c>
      <c r="B9" s="8"/>
      <c r="C9" s="8"/>
      <c r="D9" s="8"/>
      <c r="E9" s="8"/>
      <c r="F9" s="8"/>
      <c r="G9" s="8"/>
    </row>
    <row r="10" customFormat="false" ht="15" hidden="false" customHeight="false" outlineLevel="0" collapsed="false">
      <c r="A10" s="7" t="s">
        <v>642</v>
      </c>
      <c r="B10" s="8"/>
      <c r="C10" s="8"/>
      <c r="D10" s="8"/>
      <c r="E10" s="8"/>
      <c r="F10" s="8"/>
      <c r="G10" s="8"/>
    </row>
    <row r="11" customFormat="false" ht="15" hidden="false" customHeight="false" outlineLevel="0" collapsed="false">
      <c r="A11" s="7" t="s">
        <v>643</v>
      </c>
      <c r="B11" s="8"/>
      <c r="C11" s="8"/>
      <c r="D11" s="8"/>
      <c r="E11" s="8"/>
      <c r="F11" s="8"/>
      <c r="G11" s="8"/>
    </row>
    <row r="12" customFormat="false" ht="15" hidden="false" customHeight="false" outlineLevel="0" collapsed="false">
      <c r="A12" s="7" t="s">
        <v>644</v>
      </c>
      <c r="B12" s="8"/>
      <c r="C12" s="8"/>
      <c r="D12" s="8"/>
      <c r="E12" s="8"/>
      <c r="F12" s="8"/>
      <c r="G12" s="8"/>
    </row>
    <row r="13" customFormat="false" ht="15" hidden="false" customHeight="false" outlineLevel="0" collapsed="false">
      <c r="A13" s="7" t="s">
        <v>645</v>
      </c>
      <c r="B13" s="8"/>
      <c r="C13" s="8"/>
      <c r="D13" s="8"/>
      <c r="E13" s="8"/>
      <c r="F13" s="8"/>
      <c r="G13" s="8"/>
    </row>
    <row r="14" customFormat="false" ht="15" hidden="false" customHeight="false" outlineLevel="0" collapsed="false">
      <c r="A14" s="7" t="s">
        <v>646</v>
      </c>
      <c r="B14" s="8"/>
      <c r="C14" s="8"/>
      <c r="D14" s="8"/>
      <c r="E14" s="8"/>
      <c r="F14" s="8"/>
      <c r="G14" s="8"/>
    </row>
    <row r="15" customFormat="false" ht="15" hidden="false" customHeight="false" outlineLevel="0" collapsed="false">
      <c r="A15" s="7" t="s">
        <v>647</v>
      </c>
      <c r="B15" s="8"/>
      <c r="C15" s="8"/>
      <c r="D15" s="8"/>
      <c r="E15" s="8"/>
      <c r="F15" s="8"/>
      <c r="G15" s="8"/>
    </row>
    <row r="16" customFormat="false" ht="15" hidden="false" customHeight="false" outlineLevel="0" collapsed="false">
      <c r="A16" s="7" t="s">
        <v>648</v>
      </c>
      <c r="B16" s="8"/>
      <c r="C16" s="8"/>
      <c r="D16" s="8"/>
      <c r="E16" s="8"/>
      <c r="F16" s="8"/>
      <c r="G16" s="8"/>
    </row>
    <row r="17" customFormat="false" ht="15" hidden="false" customHeight="false" outlineLevel="0" collapsed="false">
      <c r="A17" s="7" t="s">
        <v>649</v>
      </c>
      <c r="B17" s="8"/>
      <c r="C17" s="8"/>
      <c r="D17" s="8"/>
      <c r="E17" s="8"/>
      <c r="F17" s="8"/>
      <c r="G17" s="8"/>
    </row>
    <row r="18" customFormat="false" ht="15" hidden="false" customHeight="false" outlineLevel="0" collapsed="false">
      <c r="A18" s="7" t="s">
        <v>650</v>
      </c>
      <c r="B18" s="8"/>
      <c r="C18" s="8"/>
      <c r="D18" s="8"/>
      <c r="E18" s="8"/>
      <c r="F18" s="8"/>
      <c r="G18" s="8"/>
    </row>
    <row r="19" customFormat="false" ht="15" hidden="false" customHeight="false" outlineLevel="0" collapsed="false">
      <c r="A19" s="7" t="s">
        <v>651</v>
      </c>
      <c r="B19" s="8"/>
      <c r="C19" s="8"/>
      <c r="D19" s="8"/>
      <c r="E19" s="8"/>
      <c r="F19" s="8"/>
      <c r="G19" s="8"/>
    </row>
    <row r="20" customFormat="false" ht="15" hidden="false" customHeight="false" outlineLevel="0" collapsed="false">
      <c r="A20" s="7" t="s">
        <v>652</v>
      </c>
      <c r="B20" s="8"/>
      <c r="C20" s="8"/>
      <c r="D20" s="8"/>
      <c r="E20" s="8"/>
      <c r="F20" s="8"/>
      <c r="G20" s="8"/>
    </row>
    <row r="21" customFormat="false" ht="15" hidden="false" customHeight="false" outlineLevel="0" collapsed="false">
      <c r="A21" s="7" t="s">
        <v>653</v>
      </c>
      <c r="B21" s="8"/>
      <c r="C21" s="8"/>
      <c r="D21" s="8"/>
      <c r="E21" s="8"/>
      <c r="F21" s="8"/>
      <c r="G21" s="8"/>
    </row>
    <row r="22" customFormat="false" ht="15" hidden="false" customHeight="false" outlineLevel="0" collapsed="false">
      <c r="A22" s="7" t="s">
        <v>654</v>
      </c>
      <c r="B22" s="8"/>
      <c r="C22" s="8"/>
      <c r="D22" s="8"/>
      <c r="E22" s="8"/>
      <c r="F22" s="8"/>
      <c r="G22" s="8"/>
    </row>
    <row r="23" customFormat="false" ht="15" hidden="false" customHeight="false" outlineLevel="0" collapsed="false">
      <c r="A23" s="7" t="s">
        <v>655</v>
      </c>
      <c r="B23" s="8"/>
      <c r="C23" s="8"/>
      <c r="D23" s="8"/>
      <c r="E23" s="8"/>
      <c r="F23" s="8"/>
      <c r="G23" s="8"/>
    </row>
    <row r="24" customFormat="false" ht="15" hidden="false" customHeight="false" outlineLevel="0" collapsed="false">
      <c r="A24" s="7" t="s">
        <v>656</v>
      </c>
      <c r="B24" s="8"/>
      <c r="C24" s="8"/>
      <c r="D24" s="8"/>
      <c r="E24" s="8"/>
      <c r="F24" s="8"/>
      <c r="G24" s="8"/>
    </row>
    <row r="25" customFormat="false" ht="15" hidden="false" customHeight="false" outlineLevel="0" collapsed="false">
      <c r="A25" s="7" t="s">
        <v>657</v>
      </c>
      <c r="B25" s="8"/>
      <c r="C25" s="8"/>
      <c r="D25" s="8"/>
      <c r="E25" s="8"/>
      <c r="F25" s="8"/>
      <c r="G25" s="8"/>
    </row>
    <row r="26" customFormat="false" ht="15" hidden="false" customHeight="false" outlineLevel="0" collapsed="false">
      <c r="A26" s="7" t="s">
        <v>658</v>
      </c>
      <c r="B26" s="8"/>
      <c r="C26" s="8"/>
      <c r="D26" s="8"/>
      <c r="E26" s="8"/>
      <c r="F26" s="8"/>
      <c r="G26" s="8"/>
    </row>
    <row r="27" customFormat="false" ht="15" hidden="false" customHeight="false" outlineLevel="0" collapsed="false">
      <c r="A27" s="7" t="s">
        <v>659</v>
      </c>
      <c r="B27" s="8"/>
      <c r="C27" s="8"/>
      <c r="D27" s="8"/>
      <c r="E27" s="8"/>
      <c r="F27" s="8"/>
      <c r="G27" s="8"/>
    </row>
    <row r="28" customFormat="false" ht="15" hidden="false" customHeight="false" outlineLevel="0" collapsed="false">
      <c r="A28" s="7" t="s">
        <v>660</v>
      </c>
      <c r="B28" s="8"/>
      <c r="C28" s="8"/>
      <c r="D28" s="8"/>
      <c r="E28" s="8"/>
      <c r="F28" s="8"/>
      <c r="G28" s="8"/>
    </row>
    <row r="29" customFormat="false" ht="15" hidden="false" customHeight="false" outlineLevel="0" collapsed="false">
      <c r="A29" s="7" t="s">
        <v>661</v>
      </c>
      <c r="B29" s="8"/>
      <c r="C29" s="8"/>
      <c r="D29" s="8"/>
      <c r="E29" s="8"/>
      <c r="F29" s="8"/>
      <c r="G29" s="8"/>
    </row>
    <row r="30" customFormat="false" ht="15" hidden="false" customHeight="false" outlineLevel="0" collapsed="false">
      <c r="A30" s="7" t="s">
        <v>662</v>
      </c>
      <c r="B30" s="8"/>
      <c r="C30" s="8"/>
      <c r="D30" s="8"/>
      <c r="E30" s="8"/>
      <c r="F30" s="8"/>
      <c r="G30" s="8"/>
    </row>
    <row r="31" customFormat="false" ht="15" hidden="false" customHeight="false" outlineLevel="0" collapsed="false">
      <c r="A31" s="7" t="s">
        <v>663</v>
      </c>
      <c r="B31" s="8"/>
      <c r="C31" s="8"/>
      <c r="D31" s="8"/>
      <c r="E31" s="8"/>
      <c r="F31" s="8"/>
      <c r="G31" s="8"/>
    </row>
    <row r="32" customFormat="false" ht="15" hidden="false" customHeight="false" outlineLevel="0" collapsed="false">
      <c r="A32" s="7" t="s">
        <v>664</v>
      </c>
      <c r="B32" s="8"/>
      <c r="C32" s="8"/>
      <c r="D32" s="8"/>
      <c r="E32" s="8"/>
      <c r="F32" s="8"/>
      <c r="G32" s="8"/>
    </row>
    <row r="33" customFormat="false" ht="15" hidden="false" customHeight="false" outlineLevel="0" collapsed="false">
      <c r="A33" s="7" t="s">
        <v>665</v>
      </c>
      <c r="B33" s="8"/>
      <c r="C33" s="8"/>
      <c r="D33" s="8"/>
      <c r="E33" s="8"/>
      <c r="F33" s="8"/>
      <c r="G33" s="8"/>
    </row>
    <row r="34" customFormat="false" ht="15" hidden="false" customHeight="false" outlineLevel="0" collapsed="false">
      <c r="A34" s="7" t="s">
        <v>666</v>
      </c>
      <c r="B34" s="8"/>
      <c r="C34" s="8"/>
      <c r="D34" s="8"/>
      <c r="E34" s="8"/>
      <c r="F34" s="8"/>
      <c r="G34" s="8"/>
    </row>
    <row r="35" customFormat="false" ht="15" hidden="false" customHeight="false" outlineLevel="0" collapsed="false">
      <c r="A35" s="7" t="s">
        <v>667</v>
      </c>
      <c r="B35" s="8"/>
      <c r="C35" s="8"/>
      <c r="D35" s="8"/>
      <c r="E35" s="8"/>
      <c r="F35" s="8"/>
      <c r="G35" s="8"/>
    </row>
    <row r="36" customFormat="false" ht="15" hidden="false" customHeight="false" outlineLevel="0" collapsed="false">
      <c r="A36" s="7" t="s">
        <v>668</v>
      </c>
      <c r="B36" s="8"/>
      <c r="C36" s="8"/>
      <c r="D36" s="8"/>
      <c r="E36" s="8"/>
      <c r="F36" s="8"/>
      <c r="G36" s="8"/>
    </row>
    <row r="37" customFormat="false" ht="15" hidden="false" customHeight="false" outlineLevel="0" collapsed="false">
      <c r="A37" s="7" t="s">
        <v>669</v>
      </c>
      <c r="B37" s="8"/>
      <c r="C37" s="8"/>
      <c r="D37" s="8"/>
      <c r="E37" s="8"/>
      <c r="F37" s="8"/>
      <c r="G37" s="8"/>
    </row>
    <row r="38" customFormat="false" ht="15" hidden="false" customHeight="false" outlineLevel="0" collapsed="false">
      <c r="A38" s="7" t="s">
        <v>670</v>
      </c>
      <c r="B38" s="8"/>
      <c r="C38" s="8"/>
      <c r="D38" s="8"/>
      <c r="E38" s="8"/>
      <c r="F38" s="8"/>
      <c r="G38" s="8"/>
    </row>
    <row r="39" customFormat="false" ht="15" hidden="false" customHeight="false" outlineLevel="0" collapsed="false">
      <c r="A39" s="7" t="s">
        <v>671</v>
      </c>
      <c r="B39" s="8"/>
      <c r="C39" s="8"/>
      <c r="D39" s="8"/>
      <c r="E39" s="8"/>
      <c r="F39" s="8"/>
      <c r="G39" s="8"/>
    </row>
    <row r="40" customFormat="false" ht="15" hidden="false" customHeight="false" outlineLevel="0" collapsed="false">
      <c r="A40" s="7" t="s">
        <v>672</v>
      </c>
      <c r="B40" s="8"/>
      <c r="C40" s="8"/>
      <c r="D40" s="8"/>
      <c r="E40" s="8"/>
      <c r="F40" s="8"/>
      <c r="G40" s="8"/>
    </row>
    <row r="41" customFormat="false" ht="15" hidden="false" customHeight="false" outlineLevel="0" collapsed="false">
      <c r="A41" s="7" t="s">
        <v>673</v>
      </c>
      <c r="B41" s="8"/>
      <c r="C41" s="8"/>
      <c r="D41" s="8"/>
      <c r="E41" s="8"/>
      <c r="F41" s="8"/>
      <c r="G41" s="8"/>
    </row>
    <row r="42" customFormat="false" ht="15" hidden="false" customHeight="false" outlineLevel="0" collapsed="false">
      <c r="A42" s="7" t="s">
        <v>674</v>
      </c>
      <c r="B42" s="8"/>
      <c r="C42" s="8"/>
      <c r="D42" s="8"/>
      <c r="E42" s="8"/>
      <c r="F42" s="8"/>
      <c r="G42" s="8"/>
    </row>
    <row r="43" customFormat="false" ht="15" hidden="false" customHeight="false" outlineLevel="0" collapsed="false">
      <c r="A43" s="7" t="s">
        <v>675</v>
      </c>
      <c r="B43" s="8"/>
      <c r="C43" s="8"/>
      <c r="D43" s="8"/>
      <c r="E43" s="8"/>
      <c r="F43" s="8"/>
      <c r="G43" s="8"/>
    </row>
    <row r="44" customFormat="false" ht="15" hidden="false" customHeight="false" outlineLevel="0" collapsed="false">
      <c r="A44" s="7" t="s">
        <v>676</v>
      </c>
      <c r="B44" s="8"/>
      <c r="C44" s="8"/>
      <c r="D44" s="8"/>
      <c r="E44" s="8"/>
      <c r="F44" s="8"/>
      <c r="G44" s="8"/>
    </row>
    <row r="45" customFormat="false" ht="15" hidden="false" customHeight="false" outlineLevel="0" collapsed="false">
      <c r="A45" s="7" t="s">
        <v>677</v>
      </c>
      <c r="B45" s="8"/>
      <c r="C45" s="8"/>
      <c r="D45" s="8"/>
      <c r="E45" s="8"/>
      <c r="F45" s="8"/>
      <c r="G45" s="8"/>
    </row>
    <row r="46" customFormat="false" ht="15" hidden="false" customHeight="false" outlineLevel="0" collapsed="false">
      <c r="A46" s="7" t="s">
        <v>678</v>
      </c>
      <c r="B46" s="8"/>
      <c r="C46" s="8"/>
      <c r="D46" s="8"/>
      <c r="E46" s="8"/>
      <c r="F46" s="8"/>
      <c r="G46" s="8"/>
    </row>
    <row r="47" customFormat="false" ht="15" hidden="false" customHeight="false" outlineLevel="0" collapsed="false">
      <c r="A47" s="7" t="s">
        <v>679</v>
      </c>
      <c r="B47" s="8"/>
      <c r="C47" s="8"/>
      <c r="D47" s="8"/>
      <c r="E47" s="8"/>
      <c r="F47" s="8"/>
      <c r="G47" s="8"/>
    </row>
    <row r="48" customFormat="false" ht="15" hidden="false" customHeight="false" outlineLevel="0" collapsed="false">
      <c r="A48" s="7" t="s">
        <v>680</v>
      </c>
      <c r="B48" s="8"/>
      <c r="C48" s="8"/>
      <c r="D48" s="8"/>
      <c r="E48" s="8"/>
      <c r="F48" s="8"/>
      <c r="G48" s="8"/>
    </row>
    <row r="49" customFormat="false" ht="15" hidden="false" customHeight="false" outlineLevel="0" collapsed="false">
      <c r="A49" s="7" t="s">
        <v>681</v>
      </c>
      <c r="B49" s="8"/>
      <c r="C49" s="8"/>
      <c r="D49" s="8"/>
      <c r="E49" s="8"/>
      <c r="F49" s="8"/>
      <c r="G49" s="8"/>
    </row>
    <row r="50" customFormat="false" ht="15" hidden="false" customHeight="false" outlineLevel="0" collapsed="false">
      <c r="A50" s="7" t="s">
        <v>682</v>
      </c>
      <c r="B50" s="8"/>
      <c r="C50" s="8"/>
      <c r="D50" s="8"/>
      <c r="E50" s="8"/>
      <c r="F50" s="8"/>
      <c r="G50" s="8"/>
    </row>
    <row r="51" customFormat="false" ht="15" hidden="false" customHeight="false" outlineLevel="0" collapsed="false">
      <c r="A51" s="7" t="s">
        <v>683</v>
      </c>
      <c r="B51" s="8"/>
      <c r="C51" s="8"/>
      <c r="D51" s="8"/>
      <c r="E51" s="8"/>
      <c r="F51" s="8"/>
      <c r="G51" s="8"/>
    </row>
    <row r="52" customFormat="false" ht="15" hidden="false" customHeight="false" outlineLevel="0" collapsed="false">
      <c r="A52" s="7" t="s">
        <v>684</v>
      </c>
      <c r="B52" s="8"/>
      <c r="C52" s="8"/>
      <c r="D52" s="8"/>
      <c r="E52" s="8"/>
      <c r="F52" s="8"/>
      <c r="G52" s="8"/>
    </row>
    <row r="53" customFormat="false" ht="15" hidden="false" customHeight="false" outlineLevel="0" collapsed="false">
      <c r="A53" s="7" t="s">
        <v>685</v>
      </c>
      <c r="B53" s="8"/>
      <c r="C53" s="8"/>
      <c r="D53" s="8"/>
      <c r="E53" s="8"/>
      <c r="F53" s="8"/>
      <c r="G53" s="8"/>
    </row>
    <row r="54" customFormat="false" ht="15" hidden="false" customHeight="false" outlineLevel="0" collapsed="false">
      <c r="A54" s="7" t="s">
        <v>686</v>
      </c>
      <c r="B54" s="8"/>
      <c r="C54" s="8"/>
      <c r="D54" s="8"/>
      <c r="E54" s="8"/>
      <c r="F54" s="8"/>
      <c r="G54" s="8"/>
    </row>
    <row r="55" customFormat="false" ht="15" hidden="false" customHeight="false" outlineLevel="0" collapsed="false">
      <c r="A55" s="7" t="s">
        <v>687</v>
      </c>
      <c r="B55" s="8"/>
      <c r="C55" s="8"/>
      <c r="D55" s="8"/>
      <c r="E55" s="8"/>
      <c r="F55" s="8"/>
      <c r="G55" s="8"/>
    </row>
    <row r="56" customFormat="false" ht="15" hidden="false" customHeight="false" outlineLevel="0" collapsed="false">
      <c r="A56" s="7" t="s">
        <v>688</v>
      </c>
      <c r="B56" s="8"/>
      <c r="C56" s="8"/>
      <c r="D56" s="8"/>
      <c r="E56" s="8"/>
      <c r="F56" s="8"/>
      <c r="G56" s="8"/>
    </row>
    <row r="57" customFormat="false" ht="15" hidden="false" customHeight="false" outlineLevel="0" collapsed="false">
      <c r="A57" s="7" t="s">
        <v>689</v>
      </c>
      <c r="B57" s="8"/>
      <c r="C57" s="8"/>
      <c r="D57" s="8"/>
      <c r="E57" s="8"/>
      <c r="F57" s="8"/>
      <c r="G57" s="8"/>
    </row>
    <row r="58" customFormat="false" ht="15" hidden="false" customHeight="false" outlineLevel="0" collapsed="false">
      <c r="A58" s="7" t="s">
        <v>690</v>
      </c>
      <c r="B58" s="8"/>
      <c r="C58" s="8"/>
      <c r="D58" s="8"/>
      <c r="E58" s="8"/>
      <c r="F58" s="8"/>
      <c r="G58" s="8"/>
    </row>
    <row r="59" customFormat="false" ht="15" hidden="false" customHeight="false" outlineLevel="0" collapsed="false">
      <c r="A59" s="7" t="s">
        <v>691</v>
      </c>
      <c r="B59" s="8"/>
      <c r="C59" s="8"/>
      <c r="D59" s="8"/>
      <c r="E59" s="8"/>
      <c r="F59" s="8"/>
      <c r="G59" s="8"/>
    </row>
    <row r="60" customFormat="false" ht="15" hidden="false" customHeight="false" outlineLevel="0" collapsed="false">
      <c r="A60" s="7" t="s">
        <v>692</v>
      </c>
      <c r="B60" s="8"/>
      <c r="C60" s="8"/>
      <c r="D60" s="8"/>
      <c r="E60" s="8"/>
      <c r="F60" s="8"/>
      <c r="G60" s="8"/>
    </row>
    <row r="61" customFormat="false" ht="15" hidden="false" customHeight="false" outlineLevel="0" collapsed="false">
      <c r="A61" s="7" t="s">
        <v>693</v>
      </c>
      <c r="B61" s="8"/>
      <c r="C61" s="8"/>
      <c r="D61" s="8"/>
      <c r="E61" s="8"/>
      <c r="F61" s="8"/>
      <c r="G61" s="8"/>
    </row>
    <row r="62" customFormat="false" ht="15" hidden="false" customHeight="false" outlineLevel="0" collapsed="false">
      <c r="A62" s="7" t="s">
        <v>694</v>
      </c>
      <c r="B62" s="8"/>
      <c r="C62" s="8"/>
      <c r="D62" s="8"/>
      <c r="E62" s="8"/>
      <c r="F62" s="8"/>
      <c r="G62" s="8"/>
    </row>
    <row r="63" customFormat="false" ht="15" hidden="false" customHeight="false" outlineLevel="0" collapsed="false">
      <c r="A63" s="7" t="s">
        <v>695</v>
      </c>
      <c r="B63" s="8"/>
      <c r="C63" s="8"/>
      <c r="D63" s="8"/>
      <c r="E63" s="8"/>
      <c r="F63" s="8"/>
      <c r="G63" s="8"/>
    </row>
    <row r="64" customFormat="false" ht="15" hidden="false" customHeight="false" outlineLevel="0" collapsed="false">
      <c r="A64" s="7" t="s">
        <v>696</v>
      </c>
      <c r="B64" s="8"/>
      <c r="C64" s="8"/>
      <c r="D64" s="8"/>
      <c r="E64" s="8"/>
      <c r="F64" s="8"/>
      <c r="G64" s="8"/>
    </row>
    <row r="65" customFormat="false" ht="15" hidden="false" customHeight="false" outlineLevel="0" collapsed="false">
      <c r="A65" s="7" t="s">
        <v>697</v>
      </c>
      <c r="B65" s="8"/>
      <c r="C65" s="8"/>
      <c r="D65" s="8"/>
      <c r="E65" s="8"/>
      <c r="F65" s="8"/>
      <c r="G65" s="8"/>
    </row>
    <row r="66" customFormat="false" ht="15" hidden="false" customHeight="false" outlineLevel="0" collapsed="false">
      <c r="A66" s="7" t="s">
        <v>698</v>
      </c>
      <c r="B66" s="8"/>
      <c r="C66" s="8"/>
      <c r="D66" s="8"/>
      <c r="E66" s="8"/>
      <c r="F66" s="8"/>
      <c r="G66" s="8"/>
    </row>
    <row r="67" customFormat="false" ht="15" hidden="false" customHeight="false" outlineLevel="0" collapsed="false">
      <c r="A67" s="7" t="s">
        <v>699</v>
      </c>
      <c r="B67" s="8"/>
      <c r="C67" s="8"/>
      <c r="D67" s="8"/>
      <c r="E67" s="8"/>
      <c r="F67" s="8"/>
      <c r="G67" s="8"/>
    </row>
    <row r="68" customFormat="false" ht="15" hidden="false" customHeight="false" outlineLevel="0" collapsed="false">
      <c r="A68" s="7" t="s">
        <v>700</v>
      </c>
      <c r="B68" s="8"/>
      <c r="C68" s="8"/>
      <c r="D68" s="8"/>
      <c r="E68" s="8"/>
      <c r="F68" s="8"/>
      <c r="G68" s="8"/>
    </row>
    <row r="69" customFormat="false" ht="15" hidden="false" customHeight="false" outlineLevel="0" collapsed="false">
      <c r="A69" s="7" t="s">
        <v>701</v>
      </c>
      <c r="B69" s="8"/>
      <c r="C69" s="8"/>
      <c r="D69" s="8"/>
      <c r="E69" s="8"/>
      <c r="F69" s="8"/>
      <c r="G69" s="8"/>
    </row>
    <row r="70" customFormat="false" ht="15" hidden="false" customHeight="false" outlineLevel="0" collapsed="false">
      <c r="A70" s="7" t="s">
        <v>702</v>
      </c>
      <c r="B70" s="8"/>
      <c r="C70" s="8"/>
      <c r="D70" s="8"/>
      <c r="E70" s="8"/>
      <c r="F70" s="8"/>
      <c r="G70" s="8"/>
    </row>
    <row r="71" customFormat="false" ht="15" hidden="false" customHeight="false" outlineLevel="0" collapsed="false">
      <c r="A71" s="7" t="s">
        <v>703</v>
      </c>
      <c r="B71" s="8"/>
      <c r="C71" s="8"/>
      <c r="D71" s="8"/>
      <c r="E71" s="8"/>
      <c r="F71" s="8"/>
      <c r="G71" s="8"/>
    </row>
    <row r="72" customFormat="false" ht="15" hidden="false" customHeight="false" outlineLevel="0" collapsed="false">
      <c r="A72" s="7" t="s">
        <v>704</v>
      </c>
      <c r="B72" s="8"/>
      <c r="C72" s="8"/>
      <c r="D72" s="8"/>
      <c r="E72" s="8"/>
      <c r="F72" s="8"/>
      <c r="G72" s="8"/>
    </row>
    <row r="73" customFormat="false" ht="15" hidden="false" customHeight="false" outlineLevel="0" collapsed="false">
      <c r="A73" s="7" t="s">
        <v>705</v>
      </c>
      <c r="B73" s="8"/>
      <c r="C73" s="8"/>
      <c r="D73" s="8"/>
      <c r="E73" s="8"/>
      <c r="F73" s="8"/>
      <c r="G73" s="8"/>
    </row>
    <row r="74" customFormat="false" ht="15" hidden="false" customHeight="false" outlineLevel="0" collapsed="false">
      <c r="A74" s="7" t="s">
        <v>706</v>
      </c>
      <c r="B74" s="8"/>
      <c r="C74" s="8"/>
      <c r="D74" s="8"/>
      <c r="E74" s="8"/>
      <c r="F74" s="8"/>
      <c r="G74" s="8"/>
    </row>
    <row r="75" customFormat="false" ht="15" hidden="false" customHeight="false" outlineLevel="0" collapsed="false">
      <c r="A75" s="7" t="s">
        <v>707</v>
      </c>
      <c r="B75" s="8"/>
      <c r="C75" s="8"/>
      <c r="D75" s="8"/>
      <c r="E75" s="8"/>
      <c r="F75" s="8"/>
      <c r="G75" s="8"/>
    </row>
    <row r="76" customFormat="false" ht="15" hidden="false" customHeight="false" outlineLevel="0" collapsed="false">
      <c r="A76" s="7" t="s">
        <v>708</v>
      </c>
      <c r="B76" s="8"/>
      <c r="C76" s="8"/>
      <c r="D76" s="8"/>
      <c r="E76" s="8"/>
      <c r="F76" s="8"/>
      <c r="G76" s="8"/>
    </row>
    <row r="77" customFormat="false" ht="15" hidden="false" customHeight="false" outlineLevel="0" collapsed="false">
      <c r="A77" s="7" t="s">
        <v>709</v>
      </c>
      <c r="B77" s="8"/>
      <c r="C77" s="8"/>
      <c r="D77" s="8"/>
      <c r="E77" s="8"/>
      <c r="F77" s="8"/>
      <c r="G77" s="8"/>
    </row>
    <row r="78" customFormat="false" ht="15" hidden="false" customHeight="false" outlineLevel="0" collapsed="false">
      <c r="A78" s="7" t="s">
        <v>710</v>
      </c>
      <c r="B78" s="8"/>
      <c r="C78" s="8"/>
      <c r="D78" s="8"/>
      <c r="E78" s="8"/>
      <c r="F78" s="8"/>
      <c r="G78" s="8"/>
    </row>
    <row r="79" customFormat="false" ht="15" hidden="false" customHeight="false" outlineLevel="0" collapsed="false">
      <c r="A79" s="7" t="s">
        <v>711</v>
      </c>
      <c r="B79" s="8"/>
      <c r="C79" s="8"/>
      <c r="D79" s="8"/>
      <c r="E79" s="8"/>
      <c r="F79" s="8"/>
      <c r="G79" s="8"/>
    </row>
    <row r="80" customFormat="false" ht="15" hidden="false" customHeight="false" outlineLevel="0" collapsed="false">
      <c r="A80" s="7" t="s">
        <v>712</v>
      </c>
      <c r="B80" s="8"/>
      <c r="C80" s="8"/>
      <c r="D80" s="8"/>
      <c r="E80" s="8"/>
      <c r="F80" s="8"/>
      <c r="G80" s="8"/>
    </row>
    <row r="81" customFormat="false" ht="15" hidden="false" customHeight="false" outlineLevel="0" collapsed="false">
      <c r="A81" s="7" t="s">
        <v>713</v>
      </c>
      <c r="B81" s="8"/>
      <c r="C81" s="8"/>
      <c r="D81" s="8"/>
      <c r="E81" s="8"/>
      <c r="F81" s="8"/>
      <c r="G81" s="8"/>
    </row>
    <row r="82" customFormat="false" ht="15" hidden="false" customHeight="false" outlineLevel="0" collapsed="false">
      <c r="A82" s="7" t="s">
        <v>714</v>
      </c>
      <c r="B82" s="8"/>
      <c r="C82" s="8"/>
      <c r="D82" s="8"/>
      <c r="E82" s="8"/>
      <c r="F82" s="8"/>
      <c r="G82" s="8"/>
    </row>
    <row r="83" customFormat="false" ht="15" hidden="false" customHeight="false" outlineLevel="0" collapsed="false">
      <c r="A83" s="7" t="s">
        <v>715</v>
      </c>
      <c r="B83" s="8"/>
      <c r="C83" s="8"/>
      <c r="D83" s="8"/>
      <c r="E83" s="8"/>
      <c r="F83" s="8"/>
      <c r="G83" s="8"/>
    </row>
    <row r="84" customFormat="false" ht="15" hidden="false" customHeight="false" outlineLevel="0" collapsed="false">
      <c r="A84" s="7" t="s">
        <v>716</v>
      </c>
      <c r="B84" s="8"/>
      <c r="C84" s="8"/>
      <c r="D84" s="8"/>
      <c r="E84" s="8"/>
      <c r="F84" s="8"/>
      <c r="G84" s="8"/>
    </row>
    <row r="85" customFormat="false" ht="15" hidden="false" customHeight="false" outlineLevel="0" collapsed="false">
      <c r="A85" s="7" t="s">
        <v>717</v>
      </c>
      <c r="B85" s="8"/>
      <c r="C85" s="8"/>
      <c r="D85" s="8"/>
      <c r="E85" s="8"/>
      <c r="F85" s="8"/>
      <c r="G85" s="8"/>
    </row>
    <row r="86" customFormat="false" ht="15" hidden="false" customHeight="false" outlineLevel="0" collapsed="false">
      <c r="A86" s="7" t="s">
        <v>718</v>
      </c>
      <c r="B86" s="8"/>
      <c r="C86" s="8"/>
      <c r="D86" s="8"/>
      <c r="E86" s="8"/>
      <c r="F86" s="8"/>
      <c r="G86" s="8"/>
    </row>
    <row r="87" customFormat="false" ht="15" hidden="false" customHeight="false" outlineLevel="0" collapsed="false">
      <c r="A87" s="7" t="s">
        <v>719</v>
      </c>
      <c r="B87" s="8"/>
      <c r="C87" s="8"/>
      <c r="D87" s="8"/>
      <c r="E87" s="8"/>
      <c r="F87" s="8"/>
      <c r="G87" s="8"/>
    </row>
    <row r="88" customFormat="false" ht="15" hidden="false" customHeight="false" outlineLevel="0" collapsed="false">
      <c r="A88" s="7" t="s">
        <v>720</v>
      </c>
      <c r="B88" s="8"/>
      <c r="C88" s="8"/>
      <c r="D88" s="8"/>
      <c r="E88" s="8"/>
      <c r="F88" s="8"/>
      <c r="G88" s="8"/>
    </row>
    <row r="89" customFormat="false" ht="15" hidden="false" customHeight="false" outlineLevel="0" collapsed="false">
      <c r="A89" s="7" t="s">
        <v>721</v>
      </c>
      <c r="B89" s="8"/>
      <c r="C89" s="8"/>
      <c r="D89" s="8"/>
      <c r="E89" s="8"/>
      <c r="F89" s="8"/>
      <c r="G89" s="8"/>
    </row>
    <row r="90" customFormat="false" ht="15" hidden="false" customHeight="false" outlineLevel="0" collapsed="false">
      <c r="A90" s="7" t="s">
        <v>722</v>
      </c>
      <c r="B90" s="8"/>
      <c r="C90" s="8"/>
      <c r="D90" s="8"/>
      <c r="E90" s="8"/>
      <c r="F90" s="8"/>
      <c r="G90" s="8"/>
    </row>
    <row r="91" customFormat="false" ht="15" hidden="false" customHeight="false" outlineLevel="0" collapsed="false">
      <c r="A91" s="7" t="s">
        <v>723</v>
      </c>
      <c r="B91" s="8"/>
      <c r="C91" s="8"/>
      <c r="D91" s="8"/>
      <c r="E91" s="8"/>
      <c r="F91" s="8"/>
      <c r="G91" s="8"/>
    </row>
    <row r="92" customFormat="false" ht="15" hidden="false" customHeight="false" outlineLevel="0" collapsed="false">
      <c r="A92" s="7" t="s">
        <v>724</v>
      </c>
      <c r="B92" s="8"/>
      <c r="C92" s="8"/>
      <c r="D92" s="8"/>
      <c r="E92" s="8"/>
      <c r="F92" s="8"/>
      <c r="G92" s="8"/>
    </row>
    <row r="93" customFormat="false" ht="15" hidden="false" customHeight="false" outlineLevel="0" collapsed="false">
      <c r="A93" s="7" t="s">
        <v>725</v>
      </c>
      <c r="B93" s="8"/>
      <c r="C93" s="8"/>
      <c r="D93" s="8"/>
      <c r="E93" s="8"/>
      <c r="F93" s="8"/>
      <c r="G93" s="8"/>
    </row>
    <row r="94" customFormat="false" ht="15" hidden="false" customHeight="false" outlineLevel="0" collapsed="false">
      <c r="A94" s="7" t="s">
        <v>726</v>
      </c>
      <c r="B94" s="8"/>
      <c r="C94" s="8"/>
      <c r="D94" s="8"/>
      <c r="E94" s="8"/>
      <c r="F94" s="8"/>
      <c r="G94" s="8"/>
    </row>
    <row r="95" customFormat="false" ht="15" hidden="false" customHeight="false" outlineLevel="0" collapsed="false">
      <c r="A95" s="7" t="s">
        <v>727</v>
      </c>
      <c r="B95" s="8"/>
      <c r="C95" s="8"/>
      <c r="D95" s="8"/>
      <c r="E95" s="8"/>
      <c r="F95" s="8"/>
      <c r="G95" s="8"/>
    </row>
    <row r="96" customFormat="false" ht="15" hidden="false" customHeight="false" outlineLevel="0" collapsed="false">
      <c r="A96" s="7" t="s">
        <v>728</v>
      </c>
      <c r="B96" s="8"/>
      <c r="C96" s="8"/>
      <c r="D96" s="8"/>
      <c r="E96" s="8"/>
      <c r="F96" s="8"/>
      <c r="G96" s="8"/>
    </row>
    <row r="97" customFormat="false" ht="15" hidden="false" customHeight="false" outlineLevel="0" collapsed="false">
      <c r="A97" s="7" t="s">
        <v>729</v>
      </c>
      <c r="B97" s="8"/>
      <c r="C97" s="8"/>
      <c r="D97" s="8"/>
      <c r="E97" s="8"/>
      <c r="F97" s="8"/>
      <c r="G97" s="8"/>
    </row>
    <row r="98" customFormat="false" ht="15" hidden="false" customHeight="false" outlineLevel="0" collapsed="false">
      <c r="A98" s="7" t="s">
        <v>730</v>
      </c>
      <c r="B98" s="8"/>
      <c r="C98" s="8"/>
      <c r="D98" s="8"/>
      <c r="E98" s="8"/>
      <c r="F98" s="8"/>
      <c r="G98" s="8"/>
    </row>
    <row r="99" customFormat="false" ht="15" hidden="false" customHeight="false" outlineLevel="0" collapsed="false">
      <c r="A99" s="7" t="s">
        <v>731</v>
      </c>
      <c r="B99" s="8"/>
      <c r="C99" s="8"/>
      <c r="D99" s="8"/>
      <c r="E99" s="8"/>
      <c r="F99" s="8"/>
      <c r="G99" s="8"/>
    </row>
    <row r="100" customFormat="false" ht="15" hidden="false" customHeight="false" outlineLevel="0" collapsed="false">
      <c r="A100" s="7" t="s">
        <v>732</v>
      </c>
      <c r="B100" s="8"/>
      <c r="C100" s="8"/>
      <c r="D100" s="8"/>
      <c r="E100" s="8"/>
      <c r="F100" s="8"/>
      <c r="G100" s="8"/>
    </row>
    <row r="101" customFormat="false" ht="15" hidden="false" customHeight="false" outlineLevel="0" collapsed="false">
      <c r="A101" s="7" t="s">
        <v>733</v>
      </c>
      <c r="B101" s="8"/>
      <c r="C101" s="8"/>
      <c r="D101" s="8"/>
      <c r="E101" s="8"/>
      <c r="F101" s="8"/>
      <c r="G101" s="8"/>
    </row>
    <row r="102" customFormat="false" ht="15" hidden="false" customHeight="false" outlineLevel="0" collapsed="false">
      <c r="A102" s="7" t="s">
        <v>734</v>
      </c>
      <c r="B102" s="8"/>
      <c r="C102" s="8"/>
      <c r="D102" s="8"/>
      <c r="E102" s="8"/>
      <c r="F102" s="8"/>
      <c r="G102" s="8"/>
    </row>
    <row r="103" customFormat="false" ht="15" hidden="false" customHeight="false" outlineLevel="0" collapsed="false">
      <c r="A103" s="7" t="s">
        <v>735</v>
      </c>
      <c r="B103" s="8"/>
      <c r="C103" s="8"/>
      <c r="D103" s="8"/>
      <c r="E103" s="8"/>
      <c r="F103" s="8"/>
      <c r="G103" s="8"/>
    </row>
    <row r="104" customFormat="false" ht="15" hidden="false" customHeight="false" outlineLevel="0" collapsed="false">
      <c r="A104" s="7" t="s">
        <v>736</v>
      </c>
      <c r="B104" s="8"/>
      <c r="C104" s="8"/>
      <c r="D104" s="8"/>
      <c r="E104" s="8"/>
      <c r="F104" s="8"/>
      <c r="G104" s="8"/>
    </row>
    <row r="105" customFormat="false" ht="15" hidden="false" customHeight="false" outlineLevel="0" collapsed="false">
      <c r="A105" s="7" t="s">
        <v>737</v>
      </c>
      <c r="B105" s="8"/>
      <c r="C105" s="8"/>
      <c r="D105" s="8"/>
      <c r="E105" s="8"/>
      <c r="F105" s="8"/>
      <c r="G105" s="8"/>
    </row>
    <row r="106" customFormat="false" ht="15" hidden="false" customHeight="false" outlineLevel="0" collapsed="false">
      <c r="A106" s="7" t="s">
        <v>738</v>
      </c>
      <c r="B106" s="8"/>
      <c r="C106" s="8"/>
      <c r="D106" s="8"/>
      <c r="E106" s="8"/>
      <c r="F106" s="8"/>
      <c r="G106" s="8"/>
    </row>
    <row r="107" customFormat="false" ht="15" hidden="false" customHeight="false" outlineLevel="0" collapsed="false">
      <c r="A107" s="7" t="s">
        <v>739</v>
      </c>
      <c r="B107" s="8"/>
      <c r="C107" s="8"/>
      <c r="D107" s="8"/>
      <c r="E107" s="8"/>
      <c r="F107" s="8"/>
      <c r="G107" s="8"/>
    </row>
    <row r="108" customFormat="false" ht="15" hidden="false" customHeight="false" outlineLevel="0" collapsed="false">
      <c r="A108" s="7" t="s">
        <v>740</v>
      </c>
      <c r="B108" s="8"/>
      <c r="C108" s="8"/>
      <c r="D108" s="8"/>
      <c r="E108" s="8"/>
      <c r="F108" s="8"/>
      <c r="G108" s="8"/>
    </row>
    <row r="109" customFormat="false" ht="15" hidden="false" customHeight="false" outlineLevel="0" collapsed="false">
      <c r="A109" s="7" t="s">
        <v>741</v>
      </c>
      <c r="B109" s="8"/>
      <c r="C109" s="8"/>
      <c r="D109" s="8"/>
      <c r="E109" s="8"/>
      <c r="F109" s="8"/>
      <c r="G109" s="8"/>
    </row>
    <row r="110" customFormat="false" ht="15" hidden="false" customHeight="false" outlineLevel="0" collapsed="false">
      <c r="A110" s="7" t="s">
        <v>742</v>
      </c>
      <c r="B110" s="8"/>
      <c r="C110" s="8"/>
      <c r="D110" s="8"/>
      <c r="E110" s="8"/>
      <c r="F110" s="8"/>
      <c r="G110" s="8"/>
    </row>
    <row r="111" customFormat="false" ht="15" hidden="false" customHeight="false" outlineLevel="0" collapsed="false">
      <c r="A111" s="7" t="s">
        <v>743</v>
      </c>
      <c r="B111" s="8"/>
      <c r="C111" s="8"/>
      <c r="D111" s="8"/>
      <c r="E111" s="8"/>
      <c r="F111" s="8"/>
      <c r="G111" s="8"/>
    </row>
    <row r="112" customFormat="false" ht="15" hidden="false" customHeight="false" outlineLevel="0" collapsed="false">
      <c r="A112" s="7" t="s">
        <v>744</v>
      </c>
      <c r="B112" s="8"/>
      <c r="C112" s="8"/>
      <c r="D112" s="8"/>
      <c r="E112" s="8"/>
      <c r="F112" s="8"/>
      <c r="G112" s="8"/>
    </row>
    <row r="113" customFormat="false" ht="15" hidden="false" customHeight="false" outlineLevel="0" collapsed="false">
      <c r="A113" s="7" t="s">
        <v>745</v>
      </c>
      <c r="B113" s="8"/>
      <c r="C113" s="8"/>
      <c r="D113" s="8"/>
      <c r="E113" s="8"/>
      <c r="F113" s="8"/>
      <c r="G113" s="8"/>
    </row>
    <row r="114" customFormat="false" ht="15" hidden="false" customHeight="false" outlineLevel="0" collapsed="false">
      <c r="A114" s="7" t="s">
        <v>746</v>
      </c>
      <c r="B114" s="8"/>
      <c r="C114" s="8"/>
      <c r="D114" s="8"/>
      <c r="E114" s="8"/>
      <c r="F114" s="8"/>
      <c r="G114" s="8"/>
    </row>
    <row r="115" customFormat="false" ht="15" hidden="false" customHeight="false" outlineLevel="0" collapsed="false">
      <c r="A115" s="7" t="s">
        <v>747</v>
      </c>
      <c r="B115" s="8"/>
      <c r="C115" s="8"/>
      <c r="D115" s="8"/>
      <c r="E115" s="8"/>
      <c r="F115" s="8"/>
      <c r="G115" s="8"/>
    </row>
    <row r="116" customFormat="false" ht="15" hidden="false" customHeight="false" outlineLevel="0" collapsed="false">
      <c r="A116" s="7" t="s">
        <v>748</v>
      </c>
      <c r="B116" s="8"/>
      <c r="C116" s="8"/>
      <c r="D116" s="8"/>
      <c r="E116" s="8"/>
      <c r="F116" s="8"/>
      <c r="G116" s="8"/>
    </row>
    <row r="117" customFormat="false" ht="15" hidden="false" customHeight="false" outlineLevel="0" collapsed="false">
      <c r="A117" s="7" t="s">
        <v>749</v>
      </c>
      <c r="B117" s="8"/>
      <c r="C117" s="8"/>
      <c r="D117" s="8"/>
      <c r="E117" s="8"/>
      <c r="F117" s="8"/>
      <c r="G117" s="8"/>
    </row>
    <row r="118" customFormat="false" ht="15" hidden="false" customHeight="false" outlineLevel="0" collapsed="false">
      <c r="A118" s="7" t="s">
        <v>750</v>
      </c>
      <c r="B118" s="8"/>
      <c r="C118" s="8"/>
      <c r="D118" s="8"/>
      <c r="E118" s="8"/>
      <c r="F118" s="8"/>
      <c r="G118" s="8"/>
    </row>
    <row r="119" customFormat="false" ht="15" hidden="false" customHeight="false" outlineLevel="0" collapsed="false">
      <c r="A119" s="7" t="s">
        <v>751</v>
      </c>
      <c r="B119" s="8"/>
      <c r="C119" s="8"/>
      <c r="D119" s="8"/>
      <c r="E119" s="8"/>
      <c r="F119" s="8"/>
      <c r="G119" s="8"/>
    </row>
    <row r="120" customFormat="false" ht="15" hidden="false" customHeight="false" outlineLevel="0" collapsed="false">
      <c r="A120" s="7" t="s">
        <v>752</v>
      </c>
      <c r="B120" s="8"/>
      <c r="C120" s="8"/>
      <c r="D120" s="8"/>
      <c r="E120" s="8"/>
      <c r="F120" s="8"/>
      <c r="G120" s="8"/>
    </row>
    <row r="121" customFormat="false" ht="15" hidden="false" customHeight="false" outlineLevel="0" collapsed="false">
      <c r="A121" s="7" t="s">
        <v>753</v>
      </c>
      <c r="B121" s="8"/>
      <c r="C121" s="8"/>
      <c r="D121" s="8"/>
      <c r="E121" s="8"/>
      <c r="F121" s="8"/>
      <c r="G121" s="8"/>
    </row>
  </sheetData>
  <dataValidations count="1">
    <dataValidation allowBlank="true" errorStyle="stop" operator="between" showDropDown="false" showErrorMessage="false" showInputMessage="false" sqref="F2:F121" type="list">
      <formula1>"negative,neutral,positive"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16"/>
    <col collapsed="false" customWidth="true" hidden="false" outlineLevel="0" max="4" min="4" style="0" width="26"/>
    <col collapsed="false" customWidth="true" hidden="false" outlineLevel="0" max="5" min="5" style="0" width="16"/>
    <col collapsed="false" customWidth="true" hidden="false" outlineLevel="0" max="6" min="6" style="0" width="11"/>
    <col collapsed="false" customWidth="true" hidden="false" outlineLevel="0" max="7" min="7" style="0" width="34"/>
    <col collapsed="false" customWidth="true" hidden="false" outlineLevel="0" max="8" min="8" style="0" width="16"/>
    <col collapsed="false" customWidth="true" hidden="false" outlineLevel="0" max="9" min="9" style="0" width="9"/>
    <col collapsed="false" customWidth="true" hidden="false" outlineLevel="0" max="10" min="10" style="0" width="24"/>
  </cols>
  <sheetData>
    <row r="1" customFormat="false" ht="31.5" hidden="false" customHeight="true" outlineLevel="0" collapsed="false">
      <c r="A1" s="4" t="s">
        <v>754</v>
      </c>
      <c r="B1" s="4" t="s">
        <v>755</v>
      </c>
      <c r="C1" s="4" t="s">
        <v>756</v>
      </c>
      <c r="D1" s="4" t="s">
        <v>757</v>
      </c>
      <c r="E1" s="4" t="s">
        <v>758</v>
      </c>
      <c r="F1" s="4" t="s">
        <v>759</v>
      </c>
      <c r="G1" s="4" t="s">
        <v>760</v>
      </c>
      <c r="H1" s="4" t="s">
        <v>761</v>
      </c>
      <c r="I1" s="4" t="s">
        <v>762</v>
      </c>
      <c r="J1" s="4" t="s">
        <v>25</v>
      </c>
    </row>
    <row r="2" customFormat="false" ht="15" hidden="false" customHeight="false" outlineLevel="0" collapsed="false">
      <c r="A2" s="7" t="s">
        <v>763</v>
      </c>
      <c r="B2" s="8"/>
      <c r="C2" s="8"/>
      <c r="D2" s="8"/>
      <c r="E2" s="8"/>
      <c r="F2" s="8"/>
      <c r="G2" s="8"/>
      <c r="H2" s="8"/>
      <c r="I2" s="7" t="str">
        <f aca="false">IF(OR(E2="",H2=""),"",IF(E2=H2,"yes","NO"))</f>
        <v/>
      </c>
    </row>
    <row r="3" customFormat="false" ht="15" hidden="false" customHeight="false" outlineLevel="0" collapsed="false">
      <c r="A3" s="7" t="s">
        <v>764</v>
      </c>
      <c r="B3" s="8"/>
      <c r="C3" s="8"/>
      <c r="D3" s="8"/>
      <c r="E3" s="8"/>
      <c r="F3" s="8"/>
      <c r="G3" s="8"/>
      <c r="H3" s="8"/>
      <c r="I3" s="7" t="str">
        <f aca="false">IF(OR(E3="",H3=""),"",IF(E3=H3,"yes","NO"))</f>
        <v/>
      </c>
    </row>
    <row r="4" customFormat="false" ht="15" hidden="false" customHeight="false" outlineLevel="0" collapsed="false">
      <c r="A4" s="7" t="s">
        <v>765</v>
      </c>
      <c r="B4" s="8"/>
      <c r="C4" s="8"/>
      <c r="D4" s="8"/>
      <c r="E4" s="8"/>
      <c r="F4" s="8"/>
      <c r="G4" s="8"/>
      <c r="H4" s="8"/>
      <c r="I4" s="7" t="str">
        <f aca="false">IF(OR(E4="",H4=""),"",IF(E4=H4,"yes","NO"))</f>
        <v/>
      </c>
    </row>
    <row r="5" customFormat="false" ht="15" hidden="false" customHeight="false" outlineLevel="0" collapsed="false">
      <c r="A5" s="7" t="s">
        <v>766</v>
      </c>
      <c r="B5" s="8"/>
      <c r="C5" s="8"/>
      <c r="D5" s="8"/>
      <c r="E5" s="8"/>
      <c r="F5" s="8"/>
      <c r="G5" s="8"/>
      <c r="H5" s="8"/>
      <c r="I5" s="7" t="str">
        <f aca="false">IF(OR(E5="",H5=""),"",IF(E5=H5,"yes","NO"))</f>
        <v/>
      </c>
    </row>
    <row r="6" customFormat="false" ht="15" hidden="false" customHeight="false" outlineLevel="0" collapsed="false">
      <c r="A6" s="7" t="s">
        <v>767</v>
      </c>
      <c r="B6" s="8"/>
      <c r="C6" s="8"/>
      <c r="D6" s="8"/>
      <c r="E6" s="8"/>
      <c r="F6" s="8"/>
      <c r="G6" s="8"/>
      <c r="H6" s="8"/>
      <c r="I6" s="7" t="str">
        <f aca="false">IF(OR(E6="",H6=""),"",IF(E6=H6,"yes","NO"))</f>
        <v/>
      </c>
    </row>
    <row r="7" customFormat="false" ht="15" hidden="false" customHeight="false" outlineLevel="0" collapsed="false">
      <c r="A7" s="7" t="s">
        <v>768</v>
      </c>
      <c r="B7" s="8"/>
      <c r="C7" s="8"/>
      <c r="D7" s="8"/>
      <c r="E7" s="8"/>
      <c r="F7" s="8"/>
      <c r="G7" s="8"/>
      <c r="H7" s="8"/>
      <c r="I7" s="7" t="str">
        <f aca="false">IF(OR(E7="",H7=""),"",IF(E7=H7,"yes","NO"))</f>
        <v/>
      </c>
    </row>
    <row r="8" customFormat="false" ht="15" hidden="false" customHeight="false" outlineLevel="0" collapsed="false">
      <c r="A8" s="7" t="s">
        <v>769</v>
      </c>
      <c r="B8" s="8"/>
      <c r="C8" s="8"/>
      <c r="D8" s="8"/>
      <c r="E8" s="8"/>
      <c r="F8" s="8"/>
      <c r="G8" s="8"/>
      <c r="H8" s="8"/>
      <c r="I8" s="7" t="str">
        <f aca="false">IF(OR(E8="",H8=""),"",IF(E8=H8,"yes","NO"))</f>
        <v/>
      </c>
    </row>
    <row r="9" customFormat="false" ht="15" hidden="false" customHeight="false" outlineLevel="0" collapsed="false">
      <c r="A9" s="7" t="s">
        <v>770</v>
      </c>
      <c r="B9" s="8"/>
      <c r="C9" s="8"/>
      <c r="D9" s="8"/>
      <c r="E9" s="8"/>
      <c r="F9" s="8"/>
      <c r="G9" s="8"/>
      <c r="H9" s="8"/>
      <c r="I9" s="7" t="str">
        <f aca="false">IF(OR(E9="",H9=""),"",IF(E9=H9,"yes","NO"))</f>
        <v/>
      </c>
    </row>
    <row r="10" customFormat="false" ht="15" hidden="false" customHeight="false" outlineLevel="0" collapsed="false">
      <c r="A10" s="7" t="s">
        <v>771</v>
      </c>
      <c r="B10" s="8"/>
      <c r="C10" s="8"/>
      <c r="D10" s="8"/>
      <c r="E10" s="8"/>
      <c r="F10" s="8"/>
      <c r="G10" s="8"/>
      <c r="H10" s="8"/>
      <c r="I10" s="7" t="str">
        <f aca="false">IF(OR(E10="",H10=""),"",IF(E10=H10,"yes","NO"))</f>
        <v/>
      </c>
    </row>
    <row r="11" customFormat="false" ht="15" hidden="false" customHeight="false" outlineLevel="0" collapsed="false">
      <c r="A11" s="7" t="s">
        <v>772</v>
      </c>
      <c r="B11" s="8"/>
      <c r="C11" s="8"/>
      <c r="D11" s="8"/>
      <c r="E11" s="8"/>
      <c r="F11" s="8"/>
      <c r="G11" s="8"/>
      <c r="H11" s="8"/>
      <c r="I11" s="7" t="str">
        <f aca="false">IF(OR(E11="",H11=""),"",IF(E11=H11,"yes","NO"))</f>
        <v/>
      </c>
    </row>
    <row r="12" customFormat="false" ht="15" hidden="false" customHeight="false" outlineLevel="0" collapsed="false">
      <c r="A12" s="7" t="s">
        <v>773</v>
      </c>
      <c r="B12" s="8"/>
      <c r="C12" s="8"/>
      <c r="D12" s="8"/>
      <c r="E12" s="8"/>
      <c r="F12" s="8"/>
      <c r="G12" s="8"/>
      <c r="H12" s="8"/>
      <c r="I12" s="7" t="str">
        <f aca="false">IF(OR(E12="",H12=""),"",IF(E12=H12,"yes","NO"))</f>
        <v/>
      </c>
    </row>
    <row r="13" customFormat="false" ht="15" hidden="false" customHeight="false" outlineLevel="0" collapsed="false">
      <c r="A13" s="7" t="s">
        <v>774</v>
      </c>
      <c r="B13" s="8"/>
      <c r="C13" s="8"/>
      <c r="D13" s="8"/>
      <c r="E13" s="8"/>
      <c r="F13" s="8"/>
      <c r="G13" s="8"/>
      <c r="H13" s="8"/>
      <c r="I13" s="7" t="str">
        <f aca="false">IF(OR(E13="",H13=""),"",IF(E13=H13,"yes","NO"))</f>
        <v/>
      </c>
    </row>
    <row r="14" customFormat="false" ht="15" hidden="false" customHeight="false" outlineLevel="0" collapsed="false">
      <c r="A14" s="7" t="s">
        <v>775</v>
      </c>
      <c r="B14" s="8"/>
      <c r="C14" s="8"/>
      <c r="D14" s="8"/>
      <c r="E14" s="8"/>
      <c r="F14" s="8"/>
      <c r="G14" s="8"/>
      <c r="H14" s="8"/>
      <c r="I14" s="7" t="str">
        <f aca="false">IF(OR(E14="",H14=""),"",IF(E14=H14,"yes","NO"))</f>
        <v/>
      </c>
    </row>
    <row r="15" customFormat="false" ht="15" hidden="false" customHeight="false" outlineLevel="0" collapsed="false">
      <c r="A15" s="7" t="s">
        <v>776</v>
      </c>
      <c r="B15" s="8"/>
      <c r="C15" s="8"/>
      <c r="D15" s="8"/>
      <c r="E15" s="8"/>
      <c r="F15" s="8"/>
      <c r="G15" s="8"/>
      <c r="H15" s="8"/>
      <c r="I15" s="7" t="str">
        <f aca="false">IF(OR(E15="",H15=""),"",IF(E15=H15,"yes","NO"))</f>
        <v/>
      </c>
    </row>
    <row r="16" customFormat="false" ht="15" hidden="false" customHeight="false" outlineLevel="0" collapsed="false">
      <c r="A16" s="7" t="s">
        <v>777</v>
      </c>
      <c r="B16" s="8"/>
      <c r="C16" s="8"/>
      <c r="D16" s="8"/>
      <c r="E16" s="8"/>
      <c r="F16" s="8"/>
      <c r="G16" s="8"/>
      <c r="H16" s="8"/>
      <c r="I16" s="7" t="str">
        <f aca="false">IF(OR(E16="",H16=""),"",IF(E16=H16,"yes","NO"))</f>
        <v/>
      </c>
    </row>
    <row r="17" customFormat="false" ht="15" hidden="false" customHeight="false" outlineLevel="0" collapsed="false">
      <c r="A17" s="7" t="s">
        <v>778</v>
      </c>
      <c r="B17" s="8"/>
      <c r="C17" s="8"/>
      <c r="D17" s="8"/>
      <c r="E17" s="8"/>
      <c r="F17" s="8"/>
      <c r="G17" s="8"/>
      <c r="H17" s="8"/>
      <c r="I17" s="7" t="str">
        <f aca="false">IF(OR(E17="",H17=""),"",IF(E17=H17,"yes","NO"))</f>
        <v/>
      </c>
    </row>
    <row r="18" customFormat="false" ht="15" hidden="false" customHeight="false" outlineLevel="0" collapsed="false">
      <c r="A18" s="7" t="s">
        <v>779</v>
      </c>
      <c r="B18" s="8"/>
      <c r="C18" s="8"/>
      <c r="D18" s="8"/>
      <c r="E18" s="8"/>
      <c r="F18" s="8"/>
      <c r="G18" s="8"/>
      <c r="H18" s="8"/>
      <c r="I18" s="7" t="str">
        <f aca="false">IF(OR(E18="",H18=""),"",IF(E18=H18,"yes","NO"))</f>
        <v/>
      </c>
    </row>
    <row r="19" customFormat="false" ht="15" hidden="false" customHeight="false" outlineLevel="0" collapsed="false">
      <c r="A19" s="7" t="s">
        <v>780</v>
      </c>
      <c r="B19" s="8"/>
      <c r="C19" s="8"/>
      <c r="D19" s="8"/>
      <c r="E19" s="8"/>
      <c r="F19" s="8"/>
      <c r="G19" s="8"/>
      <c r="H19" s="8"/>
      <c r="I19" s="7" t="str">
        <f aca="false">IF(OR(E19="",H19=""),"",IF(E19=H19,"yes","NO"))</f>
        <v/>
      </c>
    </row>
    <row r="20" customFormat="false" ht="15" hidden="false" customHeight="false" outlineLevel="0" collapsed="false">
      <c r="A20" s="7" t="s">
        <v>781</v>
      </c>
      <c r="B20" s="8"/>
      <c r="C20" s="8"/>
      <c r="D20" s="8"/>
      <c r="E20" s="8"/>
      <c r="F20" s="8"/>
      <c r="G20" s="8"/>
      <c r="H20" s="8"/>
      <c r="I20" s="7" t="str">
        <f aca="false">IF(OR(E20="",H20=""),"",IF(E20=H20,"yes","NO"))</f>
        <v/>
      </c>
    </row>
    <row r="21" customFormat="false" ht="15" hidden="false" customHeight="false" outlineLevel="0" collapsed="false">
      <c r="A21" s="7" t="s">
        <v>782</v>
      </c>
      <c r="B21" s="8"/>
      <c r="C21" s="8"/>
      <c r="D21" s="8"/>
      <c r="E21" s="8"/>
      <c r="F21" s="8"/>
      <c r="G21" s="8"/>
      <c r="H21" s="8"/>
      <c r="I21" s="7" t="str">
        <f aca="false">IF(OR(E21="",H21=""),"",IF(E21=H21,"yes","NO"))</f>
        <v/>
      </c>
    </row>
    <row r="22" customFormat="false" ht="15" hidden="false" customHeight="false" outlineLevel="0" collapsed="false">
      <c r="A22" s="7" t="s">
        <v>783</v>
      </c>
      <c r="B22" s="8"/>
      <c r="C22" s="8"/>
      <c r="D22" s="8"/>
      <c r="E22" s="8"/>
      <c r="F22" s="8"/>
      <c r="G22" s="8"/>
      <c r="H22" s="8"/>
      <c r="I22" s="7" t="str">
        <f aca="false">IF(OR(E22="",H22=""),"",IF(E22=H22,"yes","NO"))</f>
        <v/>
      </c>
    </row>
    <row r="23" customFormat="false" ht="15" hidden="false" customHeight="false" outlineLevel="0" collapsed="false">
      <c r="A23" s="7" t="s">
        <v>784</v>
      </c>
      <c r="B23" s="8"/>
      <c r="C23" s="8"/>
      <c r="D23" s="8"/>
      <c r="E23" s="8"/>
      <c r="F23" s="8"/>
      <c r="G23" s="8"/>
      <c r="H23" s="8"/>
      <c r="I23" s="7" t="str">
        <f aca="false">IF(OR(E23="",H23=""),"",IF(E23=H23,"yes","NO"))</f>
        <v/>
      </c>
    </row>
    <row r="24" customFormat="false" ht="15" hidden="false" customHeight="false" outlineLevel="0" collapsed="false">
      <c r="A24" s="7" t="s">
        <v>785</v>
      </c>
      <c r="B24" s="8"/>
      <c r="C24" s="8"/>
      <c r="D24" s="8"/>
      <c r="E24" s="8"/>
      <c r="F24" s="8"/>
      <c r="G24" s="8"/>
      <c r="H24" s="8"/>
      <c r="I24" s="7" t="str">
        <f aca="false">IF(OR(E24="",H24=""),"",IF(E24=H24,"yes","NO"))</f>
        <v/>
      </c>
    </row>
    <row r="25" customFormat="false" ht="15" hidden="false" customHeight="false" outlineLevel="0" collapsed="false">
      <c r="A25" s="7" t="s">
        <v>786</v>
      </c>
      <c r="B25" s="8"/>
      <c r="C25" s="8"/>
      <c r="D25" s="8"/>
      <c r="E25" s="8"/>
      <c r="F25" s="8"/>
      <c r="G25" s="8"/>
      <c r="H25" s="8"/>
      <c r="I25" s="7" t="str">
        <f aca="false">IF(OR(E25="",H25=""),"",IF(E25=H25,"yes","NO"))</f>
        <v/>
      </c>
    </row>
    <row r="26" customFormat="false" ht="15" hidden="false" customHeight="false" outlineLevel="0" collapsed="false">
      <c r="A26" s="7" t="s">
        <v>787</v>
      </c>
      <c r="B26" s="8"/>
      <c r="C26" s="8"/>
      <c r="D26" s="8"/>
      <c r="E26" s="8"/>
      <c r="F26" s="8"/>
      <c r="G26" s="8"/>
      <c r="H26" s="8"/>
      <c r="I26" s="7" t="str">
        <f aca="false">IF(OR(E26="",H26=""),"",IF(E26=H26,"yes","NO"))</f>
        <v/>
      </c>
    </row>
    <row r="27" customFormat="false" ht="15" hidden="false" customHeight="false" outlineLevel="0" collapsed="false">
      <c r="A27" s="7" t="s">
        <v>788</v>
      </c>
      <c r="B27" s="8"/>
      <c r="C27" s="8"/>
      <c r="D27" s="8"/>
      <c r="E27" s="8"/>
      <c r="F27" s="8"/>
      <c r="G27" s="8"/>
      <c r="H27" s="8"/>
      <c r="I27" s="7" t="str">
        <f aca="false">IF(OR(E27="",H27=""),"",IF(E27=H27,"yes","NO"))</f>
        <v/>
      </c>
    </row>
    <row r="28" customFormat="false" ht="15" hidden="false" customHeight="false" outlineLevel="0" collapsed="false">
      <c r="A28" s="7" t="s">
        <v>789</v>
      </c>
      <c r="B28" s="8"/>
      <c r="C28" s="8"/>
      <c r="D28" s="8"/>
      <c r="E28" s="8"/>
      <c r="F28" s="8"/>
      <c r="G28" s="8"/>
      <c r="H28" s="8"/>
      <c r="I28" s="7" t="str">
        <f aca="false">IF(OR(E28="",H28=""),"",IF(E28=H28,"yes","NO"))</f>
        <v/>
      </c>
    </row>
    <row r="29" customFormat="false" ht="15" hidden="false" customHeight="false" outlineLevel="0" collapsed="false">
      <c r="A29" s="7" t="s">
        <v>790</v>
      </c>
      <c r="B29" s="8"/>
      <c r="C29" s="8"/>
      <c r="D29" s="8"/>
      <c r="E29" s="8"/>
      <c r="F29" s="8"/>
      <c r="G29" s="8"/>
      <c r="H29" s="8"/>
      <c r="I29" s="7" t="str">
        <f aca="false">IF(OR(E29="",H29=""),"",IF(E29=H29,"yes","NO"))</f>
        <v/>
      </c>
    </row>
    <row r="30" customFormat="false" ht="15" hidden="false" customHeight="false" outlineLevel="0" collapsed="false">
      <c r="A30" s="7" t="s">
        <v>791</v>
      </c>
      <c r="B30" s="8"/>
      <c r="C30" s="8"/>
      <c r="D30" s="8"/>
      <c r="E30" s="8"/>
      <c r="F30" s="8"/>
      <c r="G30" s="8"/>
      <c r="H30" s="8"/>
      <c r="I30" s="7" t="str">
        <f aca="false">IF(OR(E30="",H30=""),"",IF(E30=H30,"yes","NO"))</f>
        <v/>
      </c>
    </row>
    <row r="31" customFormat="false" ht="15" hidden="false" customHeight="false" outlineLevel="0" collapsed="false">
      <c r="A31" s="7" t="s">
        <v>792</v>
      </c>
      <c r="B31" s="8"/>
      <c r="C31" s="8"/>
      <c r="D31" s="8"/>
      <c r="E31" s="8"/>
      <c r="F31" s="8"/>
      <c r="G31" s="8"/>
      <c r="H31" s="8"/>
      <c r="I31" s="7" t="str">
        <f aca="false">IF(OR(E31="",H31=""),"",IF(E31=H31,"yes","NO"))</f>
        <v/>
      </c>
    </row>
    <row r="32" customFormat="false" ht="15" hidden="false" customHeight="false" outlineLevel="0" collapsed="false">
      <c r="A32" s="7" t="s">
        <v>793</v>
      </c>
      <c r="B32" s="8"/>
      <c r="C32" s="8"/>
      <c r="D32" s="8"/>
      <c r="E32" s="8"/>
      <c r="F32" s="8"/>
      <c r="G32" s="8"/>
      <c r="H32" s="8"/>
      <c r="I32" s="7" t="str">
        <f aca="false">IF(OR(E32="",H32=""),"",IF(E32=H32,"yes","NO"))</f>
        <v/>
      </c>
    </row>
    <row r="33" customFormat="false" ht="15" hidden="false" customHeight="false" outlineLevel="0" collapsed="false">
      <c r="A33" s="7" t="s">
        <v>794</v>
      </c>
      <c r="B33" s="8"/>
      <c r="C33" s="8"/>
      <c r="D33" s="8"/>
      <c r="E33" s="8"/>
      <c r="F33" s="8"/>
      <c r="G33" s="8"/>
      <c r="H33" s="8"/>
      <c r="I33" s="7" t="str">
        <f aca="false">IF(OR(E33="",H33=""),"",IF(E33=H33,"yes","NO"))</f>
        <v/>
      </c>
    </row>
    <row r="34" customFormat="false" ht="15" hidden="false" customHeight="false" outlineLevel="0" collapsed="false">
      <c r="A34" s="7" t="s">
        <v>795</v>
      </c>
      <c r="B34" s="8"/>
      <c r="C34" s="8"/>
      <c r="D34" s="8"/>
      <c r="E34" s="8"/>
      <c r="F34" s="8"/>
      <c r="G34" s="8"/>
      <c r="H34" s="8"/>
      <c r="I34" s="7" t="str">
        <f aca="false">IF(OR(E34="",H34=""),"",IF(E34=H34,"yes","NO"))</f>
        <v/>
      </c>
    </row>
    <row r="35" customFormat="false" ht="15" hidden="false" customHeight="false" outlineLevel="0" collapsed="false">
      <c r="A35" s="7" t="s">
        <v>796</v>
      </c>
      <c r="B35" s="8"/>
      <c r="C35" s="8"/>
      <c r="D35" s="8"/>
      <c r="E35" s="8"/>
      <c r="F35" s="8"/>
      <c r="G35" s="8"/>
      <c r="H35" s="8"/>
      <c r="I35" s="7" t="str">
        <f aca="false">IF(OR(E35="",H35=""),"",IF(E35=H35,"yes","NO"))</f>
        <v/>
      </c>
    </row>
    <row r="36" customFormat="false" ht="15" hidden="false" customHeight="false" outlineLevel="0" collapsed="false">
      <c r="A36" s="7" t="s">
        <v>797</v>
      </c>
      <c r="B36" s="8"/>
      <c r="C36" s="8"/>
      <c r="D36" s="8"/>
      <c r="E36" s="8"/>
      <c r="F36" s="8"/>
      <c r="G36" s="8"/>
      <c r="H36" s="8"/>
      <c r="I36" s="7" t="str">
        <f aca="false">IF(OR(E36="",H36=""),"",IF(E36=H36,"yes","NO"))</f>
        <v/>
      </c>
    </row>
    <row r="37" customFormat="false" ht="15" hidden="false" customHeight="false" outlineLevel="0" collapsed="false">
      <c r="A37" s="7" t="s">
        <v>798</v>
      </c>
      <c r="B37" s="8"/>
      <c r="C37" s="8"/>
      <c r="D37" s="8"/>
      <c r="E37" s="8"/>
      <c r="F37" s="8"/>
      <c r="G37" s="8"/>
      <c r="H37" s="8"/>
      <c r="I37" s="7" t="str">
        <f aca="false">IF(OR(E37="",H37=""),"",IF(E37=H37,"yes","NO"))</f>
        <v/>
      </c>
    </row>
    <row r="38" customFormat="false" ht="15" hidden="false" customHeight="false" outlineLevel="0" collapsed="false">
      <c r="A38" s="7" t="s">
        <v>799</v>
      </c>
      <c r="B38" s="8"/>
      <c r="C38" s="8"/>
      <c r="D38" s="8"/>
      <c r="E38" s="8"/>
      <c r="F38" s="8"/>
      <c r="G38" s="8"/>
      <c r="H38" s="8"/>
      <c r="I38" s="7" t="str">
        <f aca="false">IF(OR(E38="",H38=""),"",IF(E38=H38,"yes","NO"))</f>
        <v/>
      </c>
    </row>
    <row r="39" customFormat="false" ht="15" hidden="false" customHeight="false" outlineLevel="0" collapsed="false">
      <c r="A39" s="7" t="s">
        <v>800</v>
      </c>
      <c r="B39" s="8"/>
      <c r="C39" s="8"/>
      <c r="D39" s="8"/>
      <c r="E39" s="8"/>
      <c r="F39" s="8"/>
      <c r="G39" s="8"/>
      <c r="H39" s="8"/>
      <c r="I39" s="7" t="str">
        <f aca="false">IF(OR(E39="",H39=""),"",IF(E39=H39,"yes","NO"))</f>
        <v/>
      </c>
    </row>
    <row r="40" customFormat="false" ht="15" hidden="false" customHeight="false" outlineLevel="0" collapsed="false">
      <c r="A40" s="7" t="s">
        <v>801</v>
      </c>
      <c r="B40" s="8"/>
      <c r="C40" s="8"/>
      <c r="D40" s="8"/>
      <c r="E40" s="8"/>
      <c r="F40" s="8"/>
      <c r="G40" s="8"/>
      <c r="H40" s="8"/>
      <c r="I40" s="7" t="str">
        <f aca="false">IF(OR(E40="",H40=""),"",IF(E40=H40,"yes","NO"))</f>
        <v/>
      </c>
    </row>
    <row r="41" customFormat="false" ht="15" hidden="false" customHeight="false" outlineLevel="0" collapsed="false">
      <c r="A41" s="7" t="s">
        <v>802</v>
      </c>
      <c r="B41" s="8"/>
      <c r="C41" s="8"/>
      <c r="D41" s="8"/>
      <c r="E41" s="8"/>
      <c r="F41" s="8"/>
      <c r="G41" s="8"/>
      <c r="H41" s="8"/>
      <c r="I41" s="7" t="str">
        <f aca="false">IF(OR(E41="",H41=""),"",IF(E41=H41,"yes","NO"))</f>
        <v/>
      </c>
    </row>
    <row r="44" customFormat="false" ht="35.05" hidden="false" customHeight="false" outlineLevel="0" collapsed="false">
      <c r="B44" s="10" t="s">
        <v>803</v>
      </c>
      <c r="C44" s="10" t="s">
        <v>804</v>
      </c>
      <c r="D44" s="10" t="s">
        <v>805</v>
      </c>
    </row>
    <row r="45" customFormat="false" ht="35.05" hidden="false" customHeight="false" outlineLevel="0" collapsed="false">
      <c r="B45" s="2" t="s">
        <v>806</v>
      </c>
      <c r="C45" s="2" t="n">
        <v>4</v>
      </c>
      <c r="D45" s="2" t="s">
        <v>807</v>
      </c>
    </row>
    <row r="46" customFormat="false" ht="35.05" hidden="false" customHeight="false" outlineLevel="0" collapsed="false">
      <c r="B46" s="2" t="s">
        <v>808</v>
      </c>
      <c r="C46" s="2" t="n">
        <v>3</v>
      </c>
      <c r="D46" s="2" t="s">
        <v>809</v>
      </c>
    </row>
    <row r="47" customFormat="false" ht="23.85" hidden="false" customHeight="false" outlineLevel="0" collapsed="false">
      <c r="B47" s="2" t="s">
        <v>810</v>
      </c>
      <c r="C47" s="2" t="n">
        <v>2</v>
      </c>
      <c r="D47" s="2" t="s">
        <v>811</v>
      </c>
    </row>
    <row r="48" customFormat="false" ht="35.05" hidden="false" customHeight="false" outlineLevel="0" collapsed="false">
      <c r="B48" s="2" t="s">
        <v>812</v>
      </c>
      <c r="C48" s="2" t="n">
        <v>3</v>
      </c>
      <c r="D48" s="2" t="s">
        <v>813</v>
      </c>
    </row>
    <row r="49" customFormat="false" ht="23.85" hidden="false" customHeight="false" outlineLevel="0" collapsed="false">
      <c r="B49" s="2" t="s">
        <v>814</v>
      </c>
      <c r="C49" s="2" t="n">
        <v>2</v>
      </c>
      <c r="D49" s="2" t="s">
        <v>815</v>
      </c>
    </row>
    <row r="50" customFormat="false" ht="35.05" hidden="false" customHeight="false" outlineLevel="0" collapsed="false">
      <c r="B50" s="2" t="s">
        <v>816</v>
      </c>
      <c r="C50" s="2" t="n">
        <v>2</v>
      </c>
      <c r="D50" s="2" t="s">
        <v>817</v>
      </c>
    </row>
    <row r="51" customFormat="false" ht="35.05" hidden="false" customHeight="false" outlineLevel="0" collapsed="false">
      <c r="B51" s="2" t="s">
        <v>818</v>
      </c>
      <c r="C51" s="2" t="n">
        <v>2</v>
      </c>
      <c r="D51" s="2" t="s">
        <v>819</v>
      </c>
    </row>
    <row r="52" customFormat="false" ht="23.85" hidden="false" customHeight="false" outlineLevel="0" collapsed="false">
      <c r="B52" s="2" t="s">
        <v>820</v>
      </c>
      <c r="C52" s="2" t="n">
        <v>1</v>
      </c>
      <c r="D52" s="2" t="s">
        <v>821</v>
      </c>
    </row>
    <row r="53" customFormat="false" ht="23.85" hidden="false" customHeight="false" outlineLevel="0" collapsed="false">
      <c r="B53" s="2" t="s">
        <v>822</v>
      </c>
      <c r="C53" s="2" t="n">
        <v>1</v>
      </c>
      <c r="D53" s="2" t="s">
        <v>823</v>
      </c>
    </row>
    <row r="54" customFormat="false" ht="35.05" hidden="false" customHeight="false" outlineLevel="0" collapsed="false">
      <c r="B54" s="2" t="s">
        <v>824</v>
      </c>
      <c r="C54" s="2" t="n">
        <v>4</v>
      </c>
      <c r="D54" s="2" t="s">
        <v>825</v>
      </c>
    </row>
    <row r="55" customFormat="false" ht="23.85" hidden="false" customHeight="false" outlineLevel="0" collapsed="false">
      <c r="B55" s="2" t="s">
        <v>826</v>
      </c>
      <c r="C55" s="2" t="n">
        <v>3</v>
      </c>
      <c r="D55" s="2" t="s">
        <v>827</v>
      </c>
    </row>
    <row r="56" customFormat="false" ht="23.85" hidden="false" customHeight="false" outlineLevel="0" collapsed="false">
      <c r="B56" s="2" t="s">
        <v>828</v>
      </c>
      <c r="C56" s="2" t="n">
        <v>4</v>
      </c>
      <c r="D56" s="2" t="s">
        <v>829</v>
      </c>
    </row>
    <row r="57" customFormat="false" ht="23.85" hidden="false" customHeight="false" outlineLevel="0" collapsed="false">
      <c r="B57" s="2" t="s">
        <v>830</v>
      </c>
      <c r="C57" s="2" t="n">
        <v>5</v>
      </c>
      <c r="D57" s="2" t="s">
        <v>831</v>
      </c>
    </row>
    <row r="58" customFormat="false" ht="35.05" hidden="false" customHeight="false" outlineLevel="0" collapsed="false">
      <c r="B58" s="2" t="s">
        <v>832</v>
      </c>
      <c r="C58" s="2" t="n">
        <v>4</v>
      </c>
      <c r="D58" s="2" t="s">
        <v>833</v>
      </c>
    </row>
    <row r="59" customFormat="false" ht="35.05" hidden="false" customHeight="false" outlineLevel="0" collapsed="false">
      <c r="B59" s="10" t="s">
        <v>834</v>
      </c>
      <c r="C59" s="10" t="n">
        <v>40</v>
      </c>
      <c r="D59" s="10" t="s">
        <v>835</v>
      </c>
    </row>
  </sheetData>
  <dataValidations count="5">
    <dataValidation allowBlank="true" errorStyle="stop" operator="between" showDropDown="false" showErrorMessage="false" showInputMessage="false" sqref="C2:C41" type="list">
      <formula1>"swing tag,care label,product page,social post,email,ad,packaging"</formula1>
      <formula2>0</formula2>
    </dataValidation>
    <dataValidation allowBlank="true" errorStyle="stop" operator="between" showDropDown="false" showErrorMessage="false" showInputMessage="false" sqref="E2:E41" type="list">
      <formula1>"compliant,non-compliant"</formula1>
      <formula2>0</formula2>
    </dataValidation>
    <dataValidation allowBlank="true" errorStyle="stop" operator="between" showDropDown="false" showErrorMessage="false" showInputMessage="false" sqref="H2:H41" type="list">
      <formula1>"compliant,non-compliant"</formula1>
      <formula2>0</formula2>
    </dataValidation>
    <dataValidation allowBlank="true" errorStyle="stop" operator="between" showDropDown="false" showErrorMessage="false" showInputMessage="false" sqref="F2:F41" type="list">
      <formula1>"low,medium,high"</formula1>
      <formula2>0</formula2>
    </dataValidation>
    <dataValidation allowBlank="true" errorStyle="stop" operator="between" showDropDown="false" showErrorMessage="false" showInputMessage="false" sqref="D2:D41" type="list">
      <formula1>"NC1 Generic unqualified term,NC2 Organic on the wrong fibre or blend,NC3 Certification without proof,NC4 Absolute claim,NC5 Unsubstantiated performance or health,NC6 Comparative or superlative,NC7 Unclear scope,NC8 Future or aspirational without a plan,NC"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14"/>
    <col collapsed="false" customWidth="true" hidden="false" outlineLevel="0" max="4" min="4" style="0" width="11"/>
    <col collapsed="false" customWidth="true" hidden="false" outlineLevel="0" max="5" min="5" style="0" width="34"/>
    <col collapsed="false" customWidth="true" hidden="false" outlineLevel="0" max="6" min="6" style="0" width="14"/>
    <col collapsed="false" customWidth="true" hidden="false" outlineLevel="0" max="7" min="7" style="0" width="12"/>
    <col collapsed="false" customWidth="true" hidden="false" outlineLevel="0" max="8" min="8" style="0" width="30"/>
  </cols>
  <sheetData>
    <row r="1" customFormat="false" ht="31.5" hidden="false" customHeight="true" outlineLevel="0" collapsed="false">
      <c r="A1" s="4" t="s">
        <v>836</v>
      </c>
      <c r="B1" s="4" t="s">
        <v>837</v>
      </c>
      <c r="C1" s="4" t="s">
        <v>838</v>
      </c>
      <c r="D1" s="4" t="s">
        <v>839</v>
      </c>
      <c r="E1" s="4" t="s">
        <v>840</v>
      </c>
      <c r="F1" s="4" t="s">
        <v>841</v>
      </c>
      <c r="G1" s="4" t="s">
        <v>842</v>
      </c>
      <c r="H1" s="4" t="s">
        <v>25</v>
      </c>
    </row>
    <row r="2" customFormat="false" ht="15" hidden="false" customHeight="false" outlineLevel="0" collapsed="false">
      <c r="A2" s="11" t="s">
        <v>843</v>
      </c>
      <c r="B2" s="11" t="s">
        <v>844</v>
      </c>
      <c r="C2" s="11" t="s">
        <v>845</v>
      </c>
      <c r="D2" s="11" t="s">
        <v>846</v>
      </c>
      <c r="E2" s="11" t="s">
        <v>847</v>
      </c>
      <c r="F2" s="12"/>
      <c r="G2" s="12"/>
      <c r="H2" s="12"/>
    </row>
    <row r="3" customFormat="false" ht="15" hidden="false" customHeight="false" outlineLevel="0" collapsed="false">
      <c r="A3" s="11" t="s">
        <v>848</v>
      </c>
      <c r="B3" s="11" t="s">
        <v>844</v>
      </c>
      <c r="C3" s="11" t="s">
        <v>845</v>
      </c>
      <c r="D3" s="11" t="s">
        <v>846</v>
      </c>
      <c r="E3" s="11" t="s">
        <v>849</v>
      </c>
      <c r="F3" s="12"/>
      <c r="G3" s="12"/>
      <c r="H3" s="12"/>
    </row>
    <row r="4" customFormat="false" ht="15" hidden="false" customHeight="false" outlineLevel="0" collapsed="false">
      <c r="A4" s="11" t="s">
        <v>850</v>
      </c>
      <c r="B4" s="11" t="s">
        <v>844</v>
      </c>
      <c r="C4" s="11" t="s">
        <v>845</v>
      </c>
      <c r="D4" s="11" t="s">
        <v>846</v>
      </c>
      <c r="E4" s="11" t="s">
        <v>851</v>
      </c>
      <c r="F4" s="12"/>
      <c r="G4" s="12"/>
      <c r="H4" s="12"/>
    </row>
    <row r="5" customFormat="false" ht="15" hidden="false" customHeight="false" outlineLevel="0" collapsed="false">
      <c r="A5" s="11" t="s">
        <v>852</v>
      </c>
      <c r="B5" s="11" t="s">
        <v>844</v>
      </c>
      <c r="C5" s="11" t="s">
        <v>845</v>
      </c>
      <c r="D5" s="11" t="s">
        <v>846</v>
      </c>
      <c r="E5" s="11" t="s">
        <v>853</v>
      </c>
      <c r="F5" s="12"/>
      <c r="G5" s="12"/>
      <c r="H5" s="12"/>
    </row>
    <row r="6" customFormat="false" ht="15" hidden="false" customHeight="false" outlineLevel="0" collapsed="false">
      <c r="A6" s="11" t="s">
        <v>854</v>
      </c>
      <c r="B6" s="11" t="s">
        <v>844</v>
      </c>
      <c r="C6" s="11" t="s">
        <v>845</v>
      </c>
      <c r="D6" s="11" t="s">
        <v>846</v>
      </c>
      <c r="E6" s="11" t="s">
        <v>855</v>
      </c>
      <c r="F6" s="12"/>
      <c r="G6" s="12"/>
      <c r="H6"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4"/>
    <col collapsed="false" customWidth="true" hidden="false" outlineLevel="0" max="4" min="4" style="0" width="30"/>
    <col collapsed="false" customWidth="true" hidden="false" outlineLevel="0" max="5" min="5" style="0" width="14"/>
    <col collapsed="false" customWidth="true" hidden="false" outlineLevel="0" max="6" min="6" style="0" width="11"/>
    <col collapsed="false" customWidth="true" hidden="false" outlineLevel="0" max="7" min="7" style="0" width="12"/>
    <col collapsed="false" customWidth="true" hidden="false" outlineLevel="0" max="8" min="8" style="0" width="30"/>
  </cols>
  <sheetData>
    <row r="1" customFormat="false" ht="31.5" hidden="false" customHeight="true" outlineLevel="0" collapsed="false">
      <c r="A1" s="4" t="s">
        <v>856</v>
      </c>
      <c r="B1" s="4" t="s">
        <v>857</v>
      </c>
      <c r="C1" s="4" t="s">
        <v>858</v>
      </c>
      <c r="D1" s="4" t="s">
        <v>859</v>
      </c>
      <c r="E1" s="4" t="s">
        <v>860</v>
      </c>
      <c r="F1" s="4" t="s">
        <v>861</v>
      </c>
      <c r="G1" s="4" t="s">
        <v>862</v>
      </c>
      <c r="H1" s="4" t="s">
        <v>25</v>
      </c>
    </row>
    <row r="2" customFormat="false" ht="15" hidden="false" customHeight="false" outlineLevel="0" collapsed="false">
      <c r="A2" s="7" t="s">
        <v>863</v>
      </c>
      <c r="B2" s="8"/>
      <c r="C2" s="8"/>
      <c r="D2" s="8"/>
      <c r="E2" s="8"/>
      <c r="F2" s="7" t="str">
        <f aca="false">IF(OR(C2="",E2=""),"",C2-E2)</f>
        <v/>
      </c>
      <c r="G2" s="7" t="str">
        <f aca="false">IF(F2="","",IF(ABS(F2)&gt;=3,"CHECK",""))</f>
        <v/>
      </c>
    </row>
    <row r="3" customFormat="false" ht="15" hidden="false" customHeight="false" outlineLevel="0" collapsed="false">
      <c r="A3" s="7" t="s">
        <v>864</v>
      </c>
      <c r="B3" s="8"/>
      <c r="C3" s="8"/>
      <c r="D3" s="8"/>
      <c r="E3" s="8"/>
      <c r="F3" s="7" t="str">
        <f aca="false">IF(OR(C3="",E3=""),"",C3-E3)</f>
        <v/>
      </c>
      <c r="G3" s="7" t="str">
        <f aca="false">IF(F3="","",IF(ABS(F3)&gt;=3,"CHECK",""))</f>
        <v/>
      </c>
    </row>
    <row r="4" customFormat="false" ht="15" hidden="false" customHeight="false" outlineLevel="0" collapsed="false">
      <c r="A4" s="7" t="s">
        <v>865</v>
      </c>
      <c r="B4" s="8"/>
      <c r="C4" s="8"/>
      <c r="D4" s="8"/>
      <c r="E4" s="8"/>
      <c r="F4" s="7" t="str">
        <f aca="false">IF(OR(C4="",E4=""),"",C4-E4)</f>
        <v/>
      </c>
      <c r="G4" s="7" t="str">
        <f aca="false">IF(F4="","",IF(ABS(F4)&gt;=3,"CHECK",""))</f>
        <v/>
      </c>
    </row>
    <row r="5" customFormat="false" ht="15" hidden="false" customHeight="false" outlineLevel="0" collapsed="false">
      <c r="A5" s="7" t="s">
        <v>866</v>
      </c>
      <c r="B5" s="8"/>
      <c r="C5" s="8"/>
      <c r="D5" s="8"/>
      <c r="E5" s="8"/>
      <c r="F5" s="7" t="str">
        <f aca="false">IF(OR(C5="",E5=""),"",C5-E5)</f>
        <v/>
      </c>
      <c r="G5" s="7" t="str">
        <f aca="false">IF(F5="","",IF(ABS(F5)&gt;=3,"CHECK",""))</f>
        <v/>
      </c>
    </row>
    <row r="6" customFormat="false" ht="15" hidden="false" customHeight="false" outlineLevel="0" collapsed="false">
      <c r="A6" s="7" t="s">
        <v>867</v>
      </c>
      <c r="B6" s="8"/>
      <c r="C6" s="8"/>
      <c r="D6" s="8"/>
      <c r="E6" s="8"/>
      <c r="F6" s="7" t="str">
        <f aca="false">IF(OR(C6="",E6=""),"",C6-E6)</f>
        <v/>
      </c>
      <c r="G6" s="7" t="str">
        <f aca="false">IF(F6="","",IF(ABS(F6)&gt;=3,"CHECK",""))</f>
        <v/>
      </c>
    </row>
    <row r="7" customFormat="false" ht="15" hidden="false" customHeight="false" outlineLevel="0" collapsed="false">
      <c r="A7" s="7" t="s">
        <v>868</v>
      </c>
      <c r="B7" s="8"/>
      <c r="C7" s="8"/>
      <c r="D7" s="8"/>
      <c r="E7" s="8"/>
      <c r="F7" s="7" t="str">
        <f aca="false">IF(OR(C7="",E7=""),"",C7-E7)</f>
        <v/>
      </c>
      <c r="G7" s="7" t="str">
        <f aca="false">IF(F7="","",IF(ABS(F7)&gt;=3,"CHECK",""))</f>
        <v/>
      </c>
    </row>
    <row r="8" customFormat="false" ht="15" hidden="false" customHeight="false" outlineLevel="0" collapsed="false">
      <c r="A8" s="7" t="s">
        <v>869</v>
      </c>
      <c r="B8" s="8"/>
      <c r="C8" s="8"/>
      <c r="D8" s="8"/>
      <c r="E8" s="8"/>
      <c r="F8" s="7" t="str">
        <f aca="false">IF(OR(C8="",E8=""),"",C8-E8)</f>
        <v/>
      </c>
      <c r="G8" s="7" t="str">
        <f aca="false">IF(F8="","",IF(ABS(F8)&gt;=3,"CHECK",""))</f>
        <v/>
      </c>
    </row>
    <row r="9" customFormat="false" ht="15" hidden="false" customHeight="false" outlineLevel="0" collapsed="false">
      <c r="A9" s="7" t="s">
        <v>870</v>
      </c>
      <c r="B9" s="8"/>
      <c r="C9" s="8"/>
      <c r="D9" s="8"/>
      <c r="E9" s="8"/>
      <c r="F9" s="7" t="str">
        <f aca="false">IF(OR(C9="",E9=""),"",C9-E9)</f>
        <v/>
      </c>
      <c r="G9" s="7" t="str">
        <f aca="false">IF(F9="","",IF(ABS(F9)&gt;=3,"CHECK",""))</f>
        <v/>
      </c>
    </row>
    <row r="10" customFormat="false" ht="15" hidden="false" customHeight="false" outlineLevel="0" collapsed="false">
      <c r="A10" s="7" t="s">
        <v>871</v>
      </c>
      <c r="B10" s="8"/>
      <c r="C10" s="8"/>
      <c r="D10" s="8"/>
      <c r="E10" s="8"/>
      <c r="F10" s="7" t="str">
        <f aca="false">IF(OR(C10="",E10=""),"",C10-E10)</f>
        <v/>
      </c>
      <c r="G10" s="7" t="str">
        <f aca="false">IF(F10="","",IF(ABS(F10)&gt;=3,"CHECK",""))</f>
        <v/>
      </c>
    </row>
    <row r="11" customFormat="false" ht="15" hidden="false" customHeight="false" outlineLevel="0" collapsed="false">
      <c r="A11" s="7" t="s">
        <v>872</v>
      </c>
      <c r="B11" s="8"/>
      <c r="C11" s="8"/>
      <c r="D11" s="8"/>
      <c r="E11" s="8"/>
      <c r="F11" s="7" t="str">
        <f aca="false">IF(OR(C11="",E11=""),"",C11-E11)</f>
        <v/>
      </c>
      <c r="G11" s="7" t="str">
        <f aca="false">IF(F11="","",IF(ABS(F11)&gt;=3,"CHECK",""))</f>
        <v/>
      </c>
    </row>
    <row r="12" customFormat="false" ht="15" hidden="false" customHeight="false" outlineLevel="0" collapsed="false">
      <c r="A12" s="7" t="s">
        <v>873</v>
      </c>
      <c r="B12" s="8"/>
      <c r="C12" s="8"/>
      <c r="D12" s="8"/>
      <c r="E12" s="8"/>
      <c r="F12" s="7" t="str">
        <f aca="false">IF(OR(C12="",E12=""),"",C12-E12)</f>
        <v/>
      </c>
      <c r="G12" s="7" t="str">
        <f aca="false">IF(F12="","",IF(ABS(F12)&gt;=3,"CHECK",""))</f>
        <v/>
      </c>
    </row>
    <row r="13" customFormat="false" ht="15" hidden="false" customHeight="false" outlineLevel="0" collapsed="false">
      <c r="A13" s="7" t="s">
        <v>874</v>
      </c>
      <c r="B13" s="8"/>
      <c r="C13" s="8"/>
      <c r="D13" s="8"/>
      <c r="E13" s="8"/>
      <c r="F13" s="7" t="str">
        <f aca="false">IF(OR(C13="",E13=""),"",C13-E13)</f>
        <v/>
      </c>
      <c r="G13" s="7" t="str">
        <f aca="false">IF(F13="","",IF(ABS(F13)&gt;=3,"CHECK",""))</f>
        <v/>
      </c>
    </row>
    <row r="14" customFormat="false" ht="15" hidden="false" customHeight="false" outlineLevel="0" collapsed="false">
      <c r="A14" s="7" t="s">
        <v>875</v>
      </c>
      <c r="B14" s="8"/>
      <c r="C14" s="8"/>
      <c r="D14" s="8"/>
      <c r="E14" s="8"/>
      <c r="F14" s="7" t="str">
        <f aca="false">IF(OR(C14="",E14=""),"",C14-E14)</f>
        <v/>
      </c>
      <c r="G14" s="7" t="str">
        <f aca="false">IF(F14="","",IF(ABS(F14)&gt;=3,"CHECK",""))</f>
        <v/>
      </c>
    </row>
    <row r="15" customFormat="false" ht="15" hidden="false" customHeight="false" outlineLevel="0" collapsed="false">
      <c r="A15" s="7" t="s">
        <v>876</v>
      </c>
      <c r="B15" s="8"/>
      <c r="C15" s="8"/>
      <c r="D15" s="8"/>
      <c r="E15" s="8"/>
      <c r="F15" s="7" t="str">
        <f aca="false">IF(OR(C15="",E15=""),"",C15-E15)</f>
        <v/>
      </c>
      <c r="G15" s="7" t="str">
        <f aca="false">IF(F15="","",IF(ABS(F15)&gt;=3,"CHECK",""))</f>
        <v/>
      </c>
    </row>
    <row r="16" customFormat="false" ht="15" hidden="false" customHeight="false" outlineLevel="0" collapsed="false">
      <c r="A16" s="7" t="s">
        <v>877</v>
      </c>
      <c r="B16" s="8"/>
      <c r="C16" s="8"/>
      <c r="D16" s="8"/>
      <c r="E16" s="8"/>
      <c r="F16" s="7" t="str">
        <f aca="false">IF(OR(C16="",E16=""),"",C16-E16)</f>
        <v/>
      </c>
      <c r="G16" s="7" t="str">
        <f aca="false">IF(F16="","",IF(ABS(F16)&gt;=3,"CHECK",""))</f>
        <v/>
      </c>
    </row>
    <row r="17" customFormat="false" ht="15" hidden="false" customHeight="false" outlineLevel="0" collapsed="false">
      <c r="A17" s="7" t="s">
        <v>878</v>
      </c>
      <c r="B17" s="8"/>
      <c r="C17" s="8"/>
      <c r="D17" s="8"/>
      <c r="E17" s="8"/>
      <c r="F17" s="7" t="str">
        <f aca="false">IF(OR(C17="",E17=""),"",C17-E17)</f>
        <v/>
      </c>
      <c r="G17" s="7" t="str">
        <f aca="false">IF(F17="","",IF(ABS(F17)&gt;=3,"CHECK",""))</f>
        <v/>
      </c>
    </row>
    <row r="18" customFormat="false" ht="15" hidden="false" customHeight="false" outlineLevel="0" collapsed="false">
      <c r="A18" s="7" t="s">
        <v>879</v>
      </c>
      <c r="B18" s="8"/>
      <c r="C18" s="8"/>
      <c r="D18" s="8"/>
      <c r="E18" s="8"/>
      <c r="F18" s="7" t="str">
        <f aca="false">IF(OR(C18="",E18=""),"",C18-E18)</f>
        <v/>
      </c>
      <c r="G18" s="7" t="str">
        <f aca="false">IF(F18="","",IF(ABS(F18)&gt;=3,"CHECK",""))</f>
        <v/>
      </c>
    </row>
    <row r="19" customFormat="false" ht="15" hidden="false" customHeight="false" outlineLevel="0" collapsed="false">
      <c r="A19" s="7" t="s">
        <v>880</v>
      </c>
      <c r="B19" s="8"/>
      <c r="C19" s="8"/>
      <c r="D19" s="8"/>
      <c r="E19" s="8"/>
      <c r="F19" s="7" t="str">
        <f aca="false">IF(OR(C19="",E19=""),"",C19-E19)</f>
        <v/>
      </c>
      <c r="G19" s="7" t="str">
        <f aca="false">IF(F19="","",IF(ABS(F19)&gt;=3,"CHECK",""))</f>
        <v/>
      </c>
    </row>
    <row r="20" customFormat="false" ht="15" hidden="false" customHeight="false" outlineLevel="0" collapsed="false">
      <c r="A20" s="7" t="s">
        <v>881</v>
      </c>
      <c r="B20" s="8"/>
      <c r="C20" s="8"/>
      <c r="D20" s="8"/>
      <c r="E20" s="8"/>
      <c r="F20" s="7" t="str">
        <f aca="false">IF(OR(C20="",E20=""),"",C20-E20)</f>
        <v/>
      </c>
      <c r="G20" s="7" t="str">
        <f aca="false">IF(F20="","",IF(ABS(F20)&gt;=3,"CHECK",""))</f>
        <v/>
      </c>
    </row>
    <row r="21" customFormat="false" ht="15" hidden="false" customHeight="false" outlineLevel="0" collapsed="false">
      <c r="A21" s="7" t="s">
        <v>882</v>
      </c>
      <c r="B21" s="8"/>
      <c r="C21" s="8"/>
      <c r="D21" s="8"/>
      <c r="E21" s="8"/>
      <c r="F21" s="7" t="str">
        <f aca="false">IF(OR(C21="",E21=""),"",C21-E21)</f>
        <v/>
      </c>
      <c r="G21" s="7" t="str">
        <f aca="false">IF(F21="","",IF(ABS(F21)&gt;=3,"CHECK",""))</f>
        <v/>
      </c>
    </row>
    <row r="22" customFormat="false" ht="15" hidden="false" customHeight="false" outlineLevel="0" collapsed="false">
      <c r="A22" s="7" t="s">
        <v>883</v>
      </c>
      <c r="B22" s="8"/>
      <c r="C22" s="8"/>
      <c r="D22" s="8"/>
      <c r="E22" s="8"/>
      <c r="F22" s="7" t="str">
        <f aca="false">IF(OR(C22="",E22=""),"",C22-E22)</f>
        <v/>
      </c>
      <c r="G22" s="7" t="str">
        <f aca="false">IF(F22="","",IF(ABS(F22)&gt;=3,"CHECK",""))</f>
        <v/>
      </c>
    </row>
    <row r="23" customFormat="false" ht="15" hidden="false" customHeight="false" outlineLevel="0" collapsed="false">
      <c r="A23" s="7" t="s">
        <v>884</v>
      </c>
      <c r="B23" s="8"/>
      <c r="C23" s="8"/>
      <c r="D23" s="8"/>
      <c r="E23" s="8"/>
      <c r="F23" s="7" t="str">
        <f aca="false">IF(OR(C23="",E23=""),"",C23-E23)</f>
        <v/>
      </c>
      <c r="G23" s="7" t="str">
        <f aca="false">IF(F23="","",IF(ABS(F23)&gt;=3,"CHECK",""))</f>
        <v/>
      </c>
    </row>
    <row r="24" customFormat="false" ht="15" hidden="false" customHeight="false" outlineLevel="0" collapsed="false">
      <c r="A24" s="7" t="s">
        <v>885</v>
      </c>
      <c r="B24" s="8"/>
      <c r="C24" s="8"/>
      <c r="D24" s="8"/>
      <c r="E24" s="8"/>
      <c r="F24" s="7" t="str">
        <f aca="false">IF(OR(C24="",E24=""),"",C24-E24)</f>
        <v/>
      </c>
      <c r="G24" s="7" t="str">
        <f aca="false">IF(F24="","",IF(ABS(F24)&gt;=3,"CHECK",""))</f>
        <v/>
      </c>
    </row>
    <row r="25" customFormat="false" ht="15" hidden="false" customHeight="false" outlineLevel="0" collapsed="false">
      <c r="A25" s="7" t="s">
        <v>886</v>
      </c>
      <c r="B25" s="8"/>
      <c r="C25" s="8"/>
      <c r="D25" s="8"/>
      <c r="E25" s="8"/>
      <c r="F25" s="7" t="str">
        <f aca="false">IF(OR(C25="",E25=""),"",C25-E25)</f>
        <v/>
      </c>
      <c r="G25" s="7" t="str">
        <f aca="false">IF(F25="","",IF(ABS(F25)&gt;=3,"CHECK",""))</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12"/>
    <col collapsed="false" customWidth="true" hidden="false" outlineLevel="0" max="4" min="4" style="0" width="14"/>
  </cols>
  <sheetData>
    <row r="1" customFormat="false" ht="31.5" hidden="false" customHeight="true" outlineLevel="0" collapsed="false">
      <c r="A1" s="4" t="s">
        <v>887</v>
      </c>
      <c r="B1" s="4" t="s">
        <v>888</v>
      </c>
      <c r="C1" s="4" t="s">
        <v>889</v>
      </c>
      <c r="D1" s="4" t="s">
        <v>890</v>
      </c>
    </row>
    <row r="2" customFormat="false" ht="15" hidden="false" customHeight="false" outlineLevel="0" collapsed="false">
      <c r="A2" s="11" t="s">
        <v>891</v>
      </c>
      <c r="B2" s="11" t="n">
        <f aca="false">COUNTA(Price_Audit!C3:C80)</f>
        <v>0</v>
      </c>
      <c r="C2" s="11" t="n">
        <v>40</v>
      </c>
      <c r="D2" s="11" t="str">
        <f aca="false">IF(ISNUMBER(C2),IF(B2&gt;=C2,"done","to do"),"")</f>
        <v>to do</v>
      </c>
    </row>
    <row r="3" customFormat="false" ht="15" hidden="false" customHeight="false" outlineLevel="0" collapsed="false">
      <c r="A3" s="11" t="s">
        <v>892</v>
      </c>
      <c r="B3" s="11" t="n">
        <f aca="false">SUMPRODUCT((Price_Audit!B3:B80&lt;&gt;"")/COUNTIF(Price_Audit!B3:B80,Price_Audit!B3:B80&amp;""))</f>
        <v>0</v>
      </c>
      <c r="C3" s="11" t="n">
        <v>6</v>
      </c>
      <c r="D3" s="11" t="str">
        <f aca="false">IF(ISNUMBER(C3),IF(B3&gt;=C3,"done","to do"),"")</f>
        <v>to do</v>
      </c>
    </row>
    <row r="4" customFormat="false" ht="15" hidden="false" customHeight="false" outlineLevel="0" collapsed="false">
      <c r="A4" s="11" t="s">
        <v>893</v>
      </c>
      <c r="B4" s="11" t="n">
        <f aca="false">COUNTIF(Reviews!B3:B502,"Manyavar")</f>
        <v>0</v>
      </c>
      <c r="C4" s="11" t="n">
        <v>100</v>
      </c>
      <c r="D4" s="11" t="str">
        <f aca="false">IF(ISNUMBER(C4),IF(B4&gt;=C4,"done","to do"),"")</f>
        <v>to do</v>
      </c>
    </row>
    <row r="5" customFormat="false" ht="15" hidden="false" customHeight="false" outlineLevel="0" collapsed="false">
      <c r="A5" s="11" t="s">
        <v>894</v>
      </c>
      <c r="B5" s="11" t="n">
        <f aca="false">COUNTIF(Reviews!B3:B502,"Fabindia")</f>
        <v>0</v>
      </c>
      <c r="C5" s="11" t="n">
        <v>100</v>
      </c>
      <c r="D5" s="11" t="str">
        <f aca="false">IF(ISNUMBER(C5),IF(B5&gt;=C5,"done","to do"),"")</f>
        <v>to do</v>
      </c>
    </row>
    <row r="6" customFormat="false" ht="15" hidden="false" customHeight="false" outlineLevel="0" collapsed="false">
      <c r="A6" s="11" t="s">
        <v>895</v>
      </c>
      <c r="B6" s="11" t="n">
        <f aca="false">COUNTIF(Reviews!B3:B502,"Tasva")</f>
        <v>0</v>
      </c>
      <c r="C6" s="11" t="n">
        <v>100</v>
      </c>
      <c r="D6" s="11" t="str">
        <f aca="false">IF(ISNUMBER(C6),IF(B6&gt;=C6,"done","to do"),"")</f>
        <v>to do</v>
      </c>
    </row>
    <row r="7" customFormat="false" ht="15" hidden="false" customHeight="false" outlineLevel="0" collapsed="false">
      <c r="A7" s="11" t="s">
        <v>896</v>
      </c>
      <c r="B7" s="11" t="n">
        <f aca="false">COUNTIF(Reviews!B3:B502,"Ethnix")</f>
        <v>0</v>
      </c>
      <c r="C7" s="11" t="n">
        <v>100</v>
      </c>
      <c r="D7" s="11" t="str">
        <f aca="false">IF(ISNUMBER(C7),IF(B7&gt;=C7,"done","to do"),"")</f>
        <v>to do</v>
      </c>
    </row>
    <row r="8" customFormat="false" ht="15" hidden="false" customHeight="false" outlineLevel="0" collapsed="false">
      <c r="A8" s="11" t="s">
        <v>897</v>
      </c>
      <c r="B8" s="11" t="n">
        <f aca="false">COUNTA(Reviews!F3:F502)</f>
        <v>0</v>
      </c>
      <c r="C8" s="11" t="n">
        <v>400</v>
      </c>
      <c r="D8" s="11" t="str">
        <f aca="false">IF(ISNUMBER(C8),IF(B8&gt;=C8,"done","to do"),"")</f>
        <v>to do</v>
      </c>
    </row>
    <row r="9" customFormat="false" ht="15" hidden="false" customHeight="false" outlineLevel="0" collapsed="false">
      <c r="A9" s="11" t="s">
        <v>898</v>
      </c>
      <c r="B9" s="11" t="n">
        <f aca="false">COUNTIF(Reviews!G3:G502,"Hinglish")+COUNTIF(Reviews!G3:G502,"Hindi (Devanagari)")</f>
        <v>0</v>
      </c>
      <c r="C9" s="11" t="s">
        <v>899</v>
      </c>
      <c r="D9" s="11" t="str">
        <f aca="false">IF(ISNUMBER(C9),IF(B9&gt;=C9,"done","to do"),"")</f>
        <v/>
      </c>
    </row>
    <row r="10" customFormat="false" ht="15" hidden="false" customHeight="false" outlineLevel="0" collapsed="false">
      <c r="A10" s="11" t="s">
        <v>900</v>
      </c>
      <c r="B10" s="11" t="n">
        <f aca="false">COUNTA(Test_Reviews_120!F2:F121)</f>
        <v>0</v>
      </c>
      <c r="C10" s="11" t="n">
        <v>120</v>
      </c>
      <c r="D10" s="11" t="str">
        <f aca="false">IF(ISNUMBER(C10),IF(B10&gt;=C10,"done","to do"),"")</f>
        <v>to do</v>
      </c>
    </row>
    <row r="11" customFormat="false" ht="15" hidden="false" customHeight="false" outlineLevel="0" collapsed="false">
      <c r="A11" s="11" t="s">
        <v>901</v>
      </c>
      <c r="B11" s="11" t="n">
        <f aca="false">COUNTA(Guardrail_Test_Claims!B2:B41)</f>
        <v>0</v>
      </c>
      <c r="C11" s="11" t="n">
        <v>40</v>
      </c>
      <c r="D11" s="11" t="str">
        <f aca="false">IF(ISNUMBER(C11),IF(B11&gt;=C11,"done","to do"),"")</f>
        <v>to do</v>
      </c>
    </row>
    <row r="12" customFormat="false" ht="15" hidden="false" customHeight="false" outlineLevel="0" collapsed="false">
      <c r="A12" s="11" t="s">
        <v>902</v>
      </c>
      <c r="B12" s="13" t="str">
        <f aca="false">IFERROR(COUNTIF(Guardrail_Test_Claims!E2:E41,"non-compliant")/COUNTA(Guardrail_Test_Claims!E2:E41),"")</f>
        <v/>
      </c>
      <c r="C12" s="11" t="s">
        <v>903</v>
      </c>
      <c r="D12" s="11" t="str">
        <f aca="false">IF(ISNUMBER(C12),IF(B12&gt;=C12,"done","to do"),"")</f>
        <v/>
      </c>
    </row>
    <row r="13" customFormat="false" ht="15" hidden="false" customHeight="false" outlineLevel="0" collapsed="false">
      <c r="A13" s="11" t="s">
        <v>904</v>
      </c>
      <c r="B13" s="13" t="str">
        <f aca="false">IFERROR(COUNTIF(Guardrail_Test_Claims!I2:I41,"yes")/(COUNTIF(Guardrail_Test_Claims!I2:I41,"yes")+COUNTIF(Guardrail_Test_Claims!I2:I41,"NO")),"")</f>
        <v/>
      </c>
      <c r="C13" s="11" t="s">
        <v>899</v>
      </c>
      <c r="D13" s="11" t="str">
        <f aca="false">IF(ISNUMBER(C13),IF(B13&gt;=C13,"done","to do"),"")</f>
        <v/>
      </c>
    </row>
    <row r="14" customFormat="false" ht="15" hidden="false" customHeight="false" outlineLevel="0" collapsed="false">
      <c r="A14" s="11" t="s">
        <v>905</v>
      </c>
      <c r="B14" s="11" t="n">
        <f aca="false">COUNTA(Trends_Log!F2:F6)</f>
        <v>0</v>
      </c>
      <c r="C14" s="11" t="n">
        <v>5</v>
      </c>
      <c r="D14" s="11" t="str">
        <f aca="false">IF(ISNUMBER(C14),IF(B14&gt;=C14,"done","to do"),"")</f>
        <v>to do</v>
      </c>
    </row>
    <row r="15" customFormat="false" ht="15" hidden="false" customHeight="false" outlineLevel="0" collapsed="false">
      <c r="A15" s="11" t="s">
        <v>906</v>
      </c>
      <c r="B15" s="11" t="n">
        <f aca="false">COUNTIFS(Wedding_Calendar!C2:C25,"&lt;&gt;",Wedding_Calendar!E2:E25,"&lt;&gt;")</f>
        <v>0</v>
      </c>
      <c r="C15" s="11" t="n">
        <v>24</v>
      </c>
      <c r="D15" s="11" t="str">
        <f aca="false">IF(ISNUMBER(C15),IF(B15&gt;=C15,"done","to do"),"")</f>
        <v>to do</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2026-09-29T15:44:38Z</dcterms:created>
  <dc:creator>openpyxl</dc:creator>
  <dc:description/>
  <dc:language>en-US</dc:language>
  <cp:lastModifiedBy/>
  <dcterms:modified xsi:type="dcterms:W3CDTF">2026-09-29T15:44:38Z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