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enarios" sheetId="2" state="visible" r:id="rId4"/>
    <sheet name="Inputs" sheetId="3" state="visible" r:id="rId5"/>
    <sheet name="Assumptions" sheetId="4" state="visible" r:id="rId6"/>
    <sheet name="Range_Cost" sheetId="5" state="visible" r:id="rId7"/>
    <sheet name="Channel_Waterfalls" sheetId="6" state="visible" r:id="rId8"/>
    <sheet name="Demand_Cash_24M" sheetId="7" state="visible" r:id="rId9"/>
    <sheet name="Siz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<sst xmlns="http://schemas.openxmlformats.org/spreadsheetml/2006/main" count="360" uniqueCount="313">
  <si>
    <t xml:space="preserve">TARU Economics Model (D8), v0.1</t>
  </si>
  <si>
    <t xml:space="preserve">Status</t>
  </si>
  <si>
    <t xml:space="preserve">30 Sep 2026. Tabs: README, Scenarios (switch + results), Inputs + Sizing (market), Assumptions, Range_Cost, Channel_Waterfalls, Demand_Cash_24M.</t>
  </si>
  <si>
    <t xml:space="preserve">Colour code</t>
  </si>
  <si>
    <t xml:space="preserve">Blue text = input (change these). Green text = link to the Inputs tab. Black = formula. Yellow fill = placeholder awaiting your own data (survey, price audit).</t>
  </si>
  <si>
    <t xml:space="preserve">Rule</t>
  </si>
  <si>
    <t xml:space="preserve">Every input carries a register ID (R###) from the sources register. No number is typed into a formula.</t>
  </si>
  <si>
    <t xml:space="preserve">Sizing logic</t>
  </si>
  <si>
    <t xml:space="preserve">Top-down: men's ethnic wear × ₹/US$ × organised share × premium share × four-metro share. Bottom-up: H × m × f × ASP, where H = target households (income &gt; ₹30 lakh) in the four metros, m = men aged 40–60 per household, f = sets bought per man per year, ASP = average selling price. Gifted purchases for fathers are inside f (they are sets the father receives).</t>
  </si>
  <si>
    <t xml:space="preserve">Disclaimer</t>
  </si>
  <si>
    <t xml:space="preserve">TARU is a fictional brand created for an independent student portfolio project. Market, competitor and regulatory facts come from public sources as cited. Consumer findings come from the author's own research with a convenience sample. Costs, targets and financial projections are illustrative assumptions.</t>
  </si>
  <si>
    <t xml:space="preserve">Scenario switch and results</t>
  </si>
  <si>
    <t xml:space="preserve">Pick a scenario in C5. Every sheet recalculates.</t>
  </si>
  <si>
    <t xml:space="preserve">Driver</t>
  </si>
  <si>
    <t xml:space="preserve">Selected</t>
  </si>
  <si>
    <t xml:space="preserve">Downside</t>
  </si>
  <si>
    <t xml:space="preserve">Base</t>
  </si>
  <si>
    <t xml:space="preserve">Upside</t>
  </si>
  <si>
    <t xml:space="preserve">Scenario (1 = Downside, 2 = Base, 3 = Upside)</t>
  </si>
  <si>
    <t xml:space="preserve">Volume multiplier</t>
  </si>
  <si>
    <t xml:space="preserve">Price realisation (share of list price achieved)</t>
  </si>
  <si>
    <t xml:space="preserve">Acquisition cost multiplier</t>
  </si>
  <si>
    <t xml:space="preserve">Fixed overhead multiplier</t>
  </si>
  <si>
    <t xml:space="preserve">RESULTS (selected scenario)</t>
  </si>
  <si>
    <t xml:space="preserve">24-month revenue ex-GST (₹)</t>
  </si>
  <si>
    <t xml:space="preserve">24-month contribution (₹)</t>
  </si>
  <si>
    <t xml:space="preserve">24-month EBITDA (₹)</t>
  </si>
  <si>
    <t xml:space="preserve">Year-2 EBITDA (₹)</t>
  </si>
  <si>
    <t xml:space="preserve">Peak funding need: lowest cumulative cash (₹)</t>
  </si>
  <si>
    <t xml:space="preserve">Month of lowest cash</t>
  </si>
  <si>
    <t xml:space="preserve">First month with positive EBITDA</t>
  </si>
  <si>
    <t xml:space="preserve">Blended contribution per set (₹)</t>
  </si>
  <si>
    <t xml:space="preserve">Break-even sets per month (fixed + content ÷ contribution per set)</t>
  </si>
  <si>
    <t xml:space="preserve">Average sets per month, year 2</t>
  </si>
  <si>
    <t xml:space="preserve">Input</t>
  </si>
  <si>
    <t xml:space="preserve">Value</t>
  </si>
  <si>
    <t xml:space="preserve">Unit</t>
  </si>
  <si>
    <t xml:space="preserve">Register ID</t>
  </si>
  <si>
    <t xml:space="preserve">Note</t>
  </si>
  <si>
    <t xml:space="preserve">Men's ethnic wear market</t>
  </si>
  <si>
    <t xml:space="preserve">US$ bn</t>
  </si>
  <si>
    <t xml:space="preserve">R009</t>
  </si>
  <si>
    <t xml:space="preserve">Derived estimate</t>
  </si>
  <si>
    <t xml:space="preserve">INR per US$</t>
  </si>
  <si>
    <t xml:space="preserve">₹ per US$</t>
  </si>
  <si>
    <t xml:space="preserve">R086</t>
  </si>
  <si>
    <t xml:space="preserve">Assumption; update</t>
  </si>
  <si>
    <t xml:space="preserve">Organised share of ethnic wear (midpoint of 15–20%)</t>
  </si>
  <si>
    <t xml:space="preserve">%</t>
  </si>
  <si>
    <t xml:space="preserve">R004</t>
  </si>
  <si>
    <t xml:space="preserve">Premium share of organised ethnic wear</t>
  </si>
  <si>
    <t xml:space="preserve">R006</t>
  </si>
  <si>
    <t xml:space="preserve">Four-metro share of premium spend</t>
  </si>
  <si>
    <t xml:space="preserve">R094</t>
  </si>
  <si>
    <t xml:space="preserve">Assumption</t>
  </si>
  <si>
    <t xml:space="preserve">Greater Mumbai UA population, 2011</t>
  </si>
  <si>
    <t xml:space="preserve">persons</t>
  </si>
  <si>
    <t xml:space="preserve">R084</t>
  </si>
  <si>
    <t xml:space="preserve">Delhi UA population, 2011</t>
  </si>
  <si>
    <t xml:space="preserve">Bangalore UA population, 2011</t>
  </si>
  <si>
    <t xml:space="preserve">Pune UA population, 2011</t>
  </si>
  <si>
    <t xml:space="preserve">Urban population growth factor 2011→2026</t>
  </si>
  <si>
    <t xml:space="preserve">×</t>
  </si>
  <si>
    <t xml:space="preserve">R087</t>
  </si>
  <si>
    <t xml:space="preserve">Delhi UA → Delhi NCR uplift</t>
  </si>
  <si>
    <t xml:space="preserve">R089</t>
  </si>
  <si>
    <t xml:space="preserve">Average household size</t>
  </si>
  <si>
    <t xml:space="preserve">R088</t>
  </si>
  <si>
    <t xml:space="preserve">Share of households with income &gt; ₹30 lakh</t>
  </si>
  <si>
    <t xml:space="preserve">R090</t>
  </si>
  <si>
    <t xml:space="preserve">Assumption; biggest uncertainty</t>
  </si>
  <si>
    <t xml:space="preserve">Men aged 40–60 per target household</t>
  </si>
  <si>
    <t xml:space="preserve">men</t>
  </si>
  <si>
    <t xml:space="preserve">R091</t>
  </si>
  <si>
    <t xml:space="preserve">Sets bought per man per year</t>
  </si>
  <si>
    <t xml:space="preserve">sets/yr</t>
  </si>
  <si>
    <t xml:space="preserve">R092</t>
  </si>
  <si>
    <t xml:space="preserve">Placeholder until survey</t>
  </si>
  <si>
    <t xml:space="preserve">Average selling price per premium set</t>
  </si>
  <si>
    <t xml:space="preserve">₹</t>
  </si>
  <si>
    <t xml:space="preserve">R093</t>
  </si>
  <si>
    <t xml:space="preserve">Placeholder until price audit</t>
  </si>
  <si>
    <t xml:space="preserve">Share of SAM reachable in 24 months</t>
  </si>
  <si>
    <t xml:space="preserve">R095</t>
  </si>
  <si>
    <t xml:space="preserve">Placeholder until D8 channel plan</t>
  </si>
  <si>
    <t xml:space="preserve">Assumptions for range, cost, channel and cash</t>
  </si>
  <si>
    <t xml:space="preserve">Blue = input. Every row cites a source or says 'Assumption'. Yellow = low confidence; test in Scenarios.</t>
  </si>
  <si>
    <t xml:space="preserve">Key</t>
  </si>
  <si>
    <t xml:space="preserve">Everyday</t>
  </si>
  <si>
    <t xml:space="preserve">Festive</t>
  </si>
  <si>
    <t xml:space="preserve">Ceremonial</t>
  </si>
  <si>
    <t xml:space="preserve">Source / note</t>
  </si>
  <si>
    <t xml:space="preserve">price</t>
  </si>
  <si>
    <t xml:space="preserve">Retail price per set (MRP = selling; no markdowns)</t>
  </si>
  <si>
    <t xml:space="preserve">Price audit + VW: everyday held under ₹2,500 GST slab; festive ~10% over Manyavar festive median (₹4,499); ceremonial inside survey acceptable range (₹4,800–11,250)</t>
  </si>
  <si>
    <t xml:space="preserve">fab_m</t>
  </si>
  <si>
    <t xml:space="preserve">Fabric per set</t>
  </si>
  <si>
    <t xml:space="preserve">metres</t>
  </si>
  <si>
    <t xml:space="preserve">Assumption: kurta ~2.75 m + pyjama ~2.25 m; ceremonial adds Nehru jacket</t>
  </si>
  <si>
    <t xml:space="preserve">fab_rate</t>
  </si>
  <si>
    <t xml:space="preserve">Certified-organic fabric cost</t>
  </si>
  <si>
    <t xml:space="preserve">₹/m</t>
  </si>
  <si>
    <t xml:space="preserve">IndiaMART GOTS organic cotton listings ₹110–350/m (30 Sep 2026); festive/ceremonial = linen or handloom premium (assumption)</t>
  </si>
  <si>
    <t xml:space="preserve">cmt</t>
  </si>
  <si>
    <t xml:space="preserve">Cut-make-trim (stitching) per set</t>
  </si>
  <si>
    <t xml:space="preserve">IndiaMART kurta-pajama job work ₹300–700/set; ceremonial with jacket (assumption)</t>
  </si>
  <si>
    <t xml:space="preserve">trims</t>
  </si>
  <si>
    <t xml:space="preserve">Buttons, thread, labels, swing tag</t>
  </si>
  <si>
    <t xml:space="preserve">pack</t>
  </si>
  <si>
    <t xml:space="preserve">Packaging (bag / box, tissue, proof card)</t>
  </si>
  <si>
    <t xml:space="preserve">Assumption; ceremonial = rigid box (brand book 5.1)</t>
  </si>
  <si>
    <t xml:space="preserve">cert</t>
  </si>
  <si>
    <t xml:space="preserve">Certification and traceability per set</t>
  </si>
  <si>
    <t xml:space="preserve">Assumption: GOTS licence + QR trail spread over volume</t>
  </si>
  <si>
    <t xml:space="preserve">waste</t>
  </si>
  <si>
    <t xml:space="preserve">Fabric wastage and QC rejects</t>
  </si>
  <si>
    <t xml:space="preserve">% of materials</t>
  </si>
  <si>
    <t xml:space="preserve">line_mix</t>
  </si>
  <si>
    <t xml:space="preserve">Share of units</t>
  </si>
  <si>
    <t xml:space="preserve">Assumption; Trends: festive/wedding searches dominate Oct–Nov</t>
  </si>
  <si>
    <t xml:space="preserve">GST</t>
  </si>
  <si>
    <t xml:space="preserve">gst_low</t>
  </si>
  <si>
    <t xml:space="preserve">GST at or below ₹2,500 per piece</t>
  </si>
  <si>
    <t xml:space="preserve">Register R048 (w.e.f. 22 Sep 2025)</t>
  </si>
  <si>
    <t xml:space="preserve">gst_high</t>
  </si>
  <si>
    <t xml:space="preserve">GST above ₹2,500 per piece</t>
  </si>
  <si>
    <t xml:space="preserve">Register R048</t>
  </si>
  <si>
    <t xml:space="preserve">gst_cut</t>
  </si>
  <si>
    <t xml:space="preserve">GST threshold</t>
  </si>
  <si>
    <t xml:space="preserve">Register R048. Applied per set here; per-piece billing of a set could lower tax (note for D8)</t>
  </si>
  <si>
    <t xml:space="preserve">CHANNELS</t>
  </si>
  <si>
    <t xml:space="preserve">D2C website</t>
  </si>
  <si>
    <t xml:space="preserve">Marketplace</t>
  </si>
  <si>
    <t xml:space="preserve">Pop-up</t>
  </si>
  <si>
    <t xml:space="preserve">Corporate gifting</t>
  </si>
  <si>
    <t xml:space="preserve">mix</t>
  </si>
  <si>
    <t xml:space="preserve">Assumption; survey G1 ranks marketplace and brand website first (direction only)</t>
  </si>
  <si>
    <t xml:space="preserve">disc</t>
  </si>
  <si>
    <t xml:space="preserve">Price discount to customer / buyer</t>
  </si>
  <si>
    <t xml:space="preserve">Assumption: gifting bulk rate 15%</t>
  </si>
  <si>
    <t xml:space="preserve">comm</t>
  </si>
  <si>
    <t xml:space="preserve">Commission (% of selling price)</t>
  </si>
  <si>
    <t xml:space="preserve">Register R069: Myntra 25–30% (press estimate, L)</t>
  </si>
  <si>
    <t xml:space="preserve">fixed_fee</t>
  </si>
  <si>
    <t xml:space="preserve">Fixed fee per order</t>
  </si>
  <si>
    <t xml:space="preserve">Register R070: ₹15–35 (L)</t>
  </si>
  <si>
    <t xml:space="preserve">pg</t>
  </si>
  <si>
    <t xml:space="preserve">Payment gateway (% incl. 18% GST on fee)</t>
  </si>
  <si>
    <t xml:space="preserve">Register R076: Razorpay 2% + GST</t>
  </si>
  <si>
    <t xml:space="preserve">ship</t>
  </si>
  <si>
    <t xml:space="preserve">Forward shipping per order</t>
  </si>
  <si>
    <t xml:space="preserve">Register R073/R071: ₹25–45/500 g aggregator; ₹55–120 Myntra; gifting = bulk</t>
  </si>
  <si>
    <t xml:space="preserve">ret</t>
  </si>
  <si>
    <t xml:space="preserve">Return rate</t>
  </si>
  <si>
    <t xml:space="preserve">Register R062/R063: fashion 25–40%; own site with fit guide lower (assumption)</t>
  </si>
  <si>
    <t xml:space="preserve">rev_ship</t>
  </si>
  <si>
    <t xml:space="preserve">Reverse shipping per return</t>
  </si>
  <si>
    <t xml:space="preserve">Register R071: reverse ≈ forward</t>
  </si>
  <si>
    <t xml:space="preserve">loss</t>
  </si>
  <si>
    <t xml:space="preserve">Unsellable share of returned value</t>
  </si>
  <si>
    <t xml:space="preserve">cod</t>
  </si>
  <si>
    <t xml:space="preserve">COD share of orders</t>
  </si>
  <si>
    <t xml:space="preserve">Survey G4 (64%, direction only)</t>
  </si>
  <si>
    <t xml:space="preserve">rto</t>
  </si>
  <si>
    <t xml:space="preserve">Return-to-origin rate on COD orders</t>
  </si>
  <si>
    <t xml:space="preserve">Register R064: RTO peaks ~39%; 20% assumed on an average month</t>
  </si>
  <si>
    <t xml:space="preserve">acq</t>
  </si>
  <si>
    <t xml:space="preserve">Acquisition or venue cost per unit</t>
  </si>
  <si>
    <t xml:space="preserve">Assumption: D2C paid social CAC; marketplace ads; pop-up stall ~₹40k per 3-day event ÷ ~90 sets; gifting sales effort</t>
  </si>
  <si>
    <t xml:space="preserve">OVERHEADS AND VOLUME</t>
  </si>
  <si>
    <t xml:space="preserve">fixed_m</t>
  </si>
  <si>
    <t xml:space="preserve">Fixed overheads per month (2 staff + founder draw, studio, software, audits)</t>
  </si>
  <si>
    <t xml:space="preserve">₹/month</t>
  </si>
  <si>
    <t xml:space="preserve">mkt_m</t>
  </si>
  <si>
    <t xml:space="preserve">Brand content and PR per month (on top of per-unit acquisition)</t>
  </si>
  <si>
    <t xml:space="preserve">capex</t>
  </si>
  <si>
    <t xml:space="preserve">Launch spend in month 1 (samples, shoot, website, certification set-up)</t>
  </si>
  <si>
    <t xml:space="preserve">units_y1</t>
  </si>
  <si>
    <t xml:space="preserve">Units, year 1 (Jul 2027–Jun 2028)</t>
  </si>
  <si>
    <t xml:space="preserve">sets</t>
  </si>
  <si>
    <t xml:space="preserve">Sizing v1: 24-month SOM ≈ 4,200 sets at 0.5% of SAM (Sizing!B27)</t>
  </si>
  <si>
    <t xml:space="preserve">units_y2</t>
  </si>
  <si>
    <t xml:space="preserve">Units, year 2 (Jul 2028–Jun 2029)</t>
  </si>
  <si>
    <t xml:space="preserve">Sizing v1 (growth as channels add)</t>
  </si>
  <si>
    <t xml:space="preserve">mp_lag</t>
  </si>
  <si>
    <t xml:space="preserve">Marketplace settlement delay</t>
  </si>
  <si>
    <t xml:space="preserve">months</t>
  </si>
  <si>
    <t xml:space="preserve">Register / practitioner norm; assumption</t>
  </si>
  <si>
    <t xml:space="preserve">lead</t>
  </si>
  <si>
    <t xml:space="preserve">Production lead time (stock paid a month before sale)</t>
  </si>
  <si>
    <t xml:space="preserve">Assumption; Trends peak Oct–Nov means stock lands by Sep</t>
  </si>
  <si>
    <t xml:space="preserve">SEASONALITY</t>
  </si>
  <si>
    <t xml:space="preserve">Month</t>
  </si>
  <si>
    <t xml:space="preserve">kurta for men index</t>
  </si>
  <si>
    <t xml:space="preserve">wedding outfit index</t>
  </si>
  <si>
    <t xml:space="preserve">Blend</t>
  </si>
  <si>
    <t xml:space="preserve">Weight</t>
  </si>
  <si>
    <t xml:space="preserve">Source: Google Trends India, 2022–2025 average, each year's mean = 100 (data/clean/desk_results.json)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</si>
  <si>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</si>
  <si>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</si>
  <si>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</si>
  <si>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</si>
  <si>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</si>
  <si>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</si>
  <si>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</si>
  <si>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</si>
  <si>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</si>
  <si>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</si>
  <si>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</si>
  <si>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</si>
  <si>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Range, price and cost stack per set</t>
  </si>
  <si>
    <t xml:space="preserve">All formulas. Green = link to Assumptions.</t>
  </si>
  <si>
    <t xml:space="preserve">Line</t>
  </si>
  <si>
    <t xml:space="preserve">Price (₹)</t>
  </si>
  <si>
    <t xml:space="preserve">GST rate</t>
  </si>
  <si>
    <t xml:space="preserve">Net price ex-GST (₹)</t>
  </si>
  <si>
    <t xml:space="preserve">Fabric (₹)</t>
  </si>
  <si>
    <t xml:space="preserve">Wastage (₹)</t>
  </si>
  <si>
    <t xml:space="preserve">CMT (₹)</t>
  </si>
  <si>
    <t xml:space="preserve">Trims (₹)</t>
  </si>
  <si>
    <t xml:space="preserve">Packaging (₹)</t>
  </si>
  <si>
    <t xml:space="preserve">Certification (₹)</t>
  </si>
  <si>
    <t xml:space="preserve">COGS (₹)</t>
  </si>
  <si>
    <t xml:space="preserve">Gross margin (₹)</t>
  </si>
  <si>
    <t xml:space="preserve">Gross margin %</t>
  </si>
  <si>
    <t xml:space="preserve">Clears 50% floor (H4)?</t>
  </si>
  <si>
    <t xml:space="preserve">Units share</t>
  </si>
  <si>
    <t xml:space="preserve">Weighted</t>
  </si>
  <si>
    <t xml:space="preserve">Reading: the everyday line is held under the ₹2,500 GST slab and priced below Manyavar's ₹2,624 natural-fibre set, so it cannot reach a 50% gross margin with certified fabric. It works as an entry and traffic line; margin comes from festive and ceremonial.</t>
  </si>
  <si>
    <t xml:space="preserve">Contribution per set, by line and channel</t>
  </si>
  <si>
    <t xml:space="preserve">One column per line × channel. Contribution = net revenue − COGS − channel costs − acquisition.</t>
  </si>
  <si>
    <t xml:space="preserve">₹ per set sold</t>
  </si>
  <si>
    <t xml:space="preserve">Everyday
D2C website</t>
  </si>
  <si>
    <t xml:space="preserve">Everyday
Marketplace</t>
  </si>
  <si>
    <t xml:space="preserve">Everyday
Pop-up</t>
  </si>
  <si>
    <t xml:space="preserve">Everyday
Corporate gifting</t>
  </si>
  <si>
    <t xml:space="preserve">Festive
D2C website</t>
  </si>
  <si>
    <t xml:space="preserve">Festive
Marketplace</t>
  </si>
  <si>
    <t xml:space="preserve">Festive
Pop-up</t>
  </si>
  <si>
    <t xml:space="preserve">Festive
Corporate gifting</t>
  </si>
  <si>
    <t xml:space="preserve">Ceremonial
D2C website</t>
  </si>
  <si>
    <t xml:space="preserve">Ceremonial
Marketplace</t>
  </si>
  <si>
    <t xml:space="preserve">Ceremonial
Pop-up</t>
  </si>
  <si>
    <t xml:space="preserve">Ceremonial
Corporate gifting</t>
  </si>
  <si>
    <t xml:space="preserve">Net price ex-GST</t>
  </si>
  <si>
    <t xml:space="preserve">Customer / buyer discount</t>
  </si>
  <si>
    <t xml:space="preserve">Net revenue</t>
  </si>
  <si>
    <t xml:space="preserve">COGS</t>
  </si>
  <si>
    <t xml:space="preserve">Gross margin</t>
  </si>
  <si>
    <t xml:space="preserve">Commission</t>
  </si>
  <si>
    <t xml:space="preserve">Fixed fee</t>
  </si>
  <si>
    <t xml:space="preserve">Payment gateway</t>
  </si>
  <si>
    <t xml:space="preserve">Forward shipping</t>
  </si>
  <si>
    <t xml:space="preserve">Returns cost</t>
  </si>
  <si>
    <t xml:space="preserve">COD return-to-origin cost</t>
  </si>
  <si>
    <t xml:space="preserve">Acquisition / venue</t>
  </si>
  <si>
    <t xml:space="preserve">Contribution</t>
  </si>
  <si>
    <t xml:space="preserve">Contribution %</t>
  </si>
  <si>
    <t xml:space="preserve">Unit mix weight</t>
  </si>
  <si>
    <t xml:space="preserve">Blended per set (mix-weighted)</t>
  </si>
  <si>
    <t xml:space="preserve">Channel + acquisition costs</t>
  </si>
  <si>
    <t xml:space="preserve">Contribution per set</t>
  </si>
  <si>
    <t xml:space="preserve">Blended contribution %</t>
  </si>
  <si>
    <t xml:space="preserve">24-month demand, P&amp;L and cash (Jul 2027 – Jun 2029)</t>
  </si>
  <si>
    <t xml:space="preserve">Units follow the Google Trends season; stock is paid one month before it sells; marketplace cash lands one month late.</t>
  </si>
  <si>
    <t xml:space="preserve">Month 25 shown only to time the last stock purchase</t>
  </si>
  <si>
    <t xml:space="preserve">Calendar month no.</t>
  </si>
  <si>
    <t xml:space="preserve">Year of plan</t>
  </si>
  <si>
    <t xml:space="preserve">Season weight</t>
  </si>
  <si>
    <t xml:space="preserve">Units sold</t>
  </si>
  <si>
    <t xml:space="preserve">Revenue ex-GST</t>
  </si>
  <si>
    <t xml:space="preserve">Fixed overheads</t>
  </si>
  <si>
    <t xml:space="preserve">Brand content</t>
  </si>
  <si>
    <t xml:space="preserve">Launch spend</t>
  </si>
  <si>
    <t xml:space="preserve">EBITDA</t>
  </si>
  <si>
    <t xml:space="preserve">Cumulative EBITDA</t>
  </si>
  <si>
    <t xml:space="preserve">Stock purchase (next month's COGS)</t>
  </si>
  <si>
    <t xml:space="preserve">Marketplace receivable change</t>
  </si>
  <si>
    <t xml:space="preserve">Cash flow</t>
  </si>
  <si>
    <t xml:space="preserve">Cumulative cash</t>
  </si>
  <si>
    <t xml:space="preserve">Market sizing v1: top-down vs bottom-up (₹ crore unless stated)</t>
  </si>
  <si>
    <t xml:space="preserve">TOP-DOWN</t>
  </si>
  <si>
    <t xml:space="preserve">Men's ethnic wear (US$ bn)</t>
  </si>
  <si>
    <t xml:space="preserve">× ₹ per US$ → ₹ crore</t>
  </si>
  <si>
    <t xml:space="preserve">× organised share</t>
  </si>
  <si>
    <t xml:space="preserve">× premium share of organised</t>
  </si>
  <si>
    <t xml:space="preserve">× four-metro share = top-down SAM (₹ crore)</t>
  </si>
  <si>
    <t xml:space="preserve">BOTTOM-UP (SAM = H × m × f × ASP)</t>
  </si>
  <si>
    <t xml:space="preserve">Mumbai</t>
  </si>
  <si>
    <t xml:space="preserve">Delhi NCR</t>
  </si>
  <si>
    <t xml:space="preserve">Bengaluru</t>
  </si>
  <si>
    <t xml:space="preserve">Pune</t>
  </si>
  <si>
    <t xml:space="preserve">Total</t>
  </si>
  <si>
    <t xml:space="preserve">Population 2011 (UA)</t>
  </si>
  <si>
    <t xml:space="preserve">Population 2026 (× growth; Delhi × NCR uplift)</t>
  </si>
  <si>
    <t xml:space="preserve">Households (÷ household size)</t>
  </si>
  <si>
    <t xml:space="preserve">H: households with income &gt; ₹30 lakh</t>
  </si>
  <si>
    <t xml:space="preserve">× m: men aged 40–60</t>
  </si>
  <si>
    <t xml:space="preserve">× f: sets per year</t>
  </si>
  <si>
    <t xml:space="preserve">× ASP: SAM (₹ crore)</t>
  </si>
  <si>
    <t xml:space="preserve">COMPARISON</t>
  </si>
  <si>
    <t xml:space="preserve">Top-down SAM (₹ crore)</t>
  </si>
  <si>
    <t xml:space="preserve">Bottom-up SAM (₹ crore)</t>
  </si>
  <si>
    <t xml:space="preserve">Ratio: bottom-up ÷ top-down</t>
  </si>
  <si>
    <t xml:space="preserve">Within 2× of each other? (H3 test)</t>
  </si>
  <si>
    <t xml:space="preserve">SAM used for SOM (lower of the two, ₹ crore)</t>
  </si>
  <si>
    <t xml:space="preserve">SOM: 24-month reachable revenue (₹ crore)</t>
  </si>
  <si>
    <t xml:space="preserve">SOM in sets (÷ ASP)</t>
  </si>
  <si>
    <t xml:space="preserve">WHY THE TWO VIEWS DIFFER</t>
  </si>
  <si>
    <t xml:space="preserve">• Bottom-up counts every set that men aged 40–60 in high-income households buy, at a premium ASP, including sets now bought from tailors, unbranded shops and luxury labels. Top-down counts only the organised premium tier, for all ages.</t>
  </si>
  <si>
    <t xml:space="preserve">• Top-down excludes the luxury tier (30% of organised) and all unorganised spend, so it is conservative for a premium brand.</t>
  </si>
  <si>
    <t xml:space="preserve">• The bottom-up figure is most sensitive to the rich-household share (Inputs row 14), which has no city-level source. Treat it as the input to test in Scenarios_Sensitivity.</t>
  </si>
  <si>
    <t xml:space="preserve">• SOM here is a placeholder share; D8's channel and budget plan replaces it with a bottom-up estimate of reachable customers.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</si>
</sst>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\x"/>
    <numFmt numFmtId="166" formatCode="#,##0;\(#,##0\);\-"/>
    <numFmt numFmtId="167" formatCode="mmm\ yy"/>
    <numFmt numFmtId="168" formatCode="0.00"/>
    <numFmt numFmtId="169" formatCode="0.0%"/>
    <numFmt numFmtId="170" formatCode="#,##0"/>
    <numFmt numFmtId="171" formatCode="0.0%;\(0.0%\);\-"/>
    <numFmt numFmtId="172" formatCode="#,##0;\(#,##0\);\-"/>
    <numFmt numFmtId="173" formatCode="#,##0.0"/>
    <numFmt numFmtId="174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4F3E"/>
        <bgColor rgb="FF333300"/>
      </patternFill>
    </fill>
    <fill>
      <patternFill patternType="solid">
        <fgColor rgb="FFFFF2CC"/>
        <bgColor rgb="FFEFEFEF"/>
      </patternFill>
    </fill>
    <fill>
      <patternFill patternType="solid">
        <fgColor rgb="FFEFEFEF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0"/>
  </cols>
  <sheetData>
    <row r="1" customFormat="false" ht="15.75" hidden="false" customHeight="true" outlineLevel="0" collapsed="false">
      <c r="A1" s="2" t="s">
        <v>0</v>
      </c>
      <c r="B1" s="3"/>
    </row>
    <row r="2" customFormat="false" ht="23.25" hidden="false" customHeight="true" outlineLevel="0" collapsed="false">
      <c r="A2" s="4" t="s">
        <v>1</v>
      </c>
      <c r="B2" s="3" t="s">
        <v>2</v>
      </c>
    </row>
    <row r="3" customFormat="false" ht="23.25" hidden="false" customHeight="true" outlineLevel="0" collapsed="false">
      <c r="A3" s="4" t="s">
        <v>3</v>
      </c>
      <c r="B3" s="3" t="s">
        <v>4</v>
      </c>
    </row>
    <row r="4" customFormat="false" ht="15" hidden="false" customHeight="true" outlineLevel="0" collapsed="false">
      <c r="A4" s="4" t="s">
        <v>5</v>
      </c>
      <c r="B4" s="3" t="s">
        <v>6</v>
      </c>
    </row>
    <row r="5" customFormat="false" ht="34.5" hidden="false" customHeight="true" outlineLevel="0" collapsed="false">
      <c r="A5" s="4" t="s">
        <v>7</v>
      </c>
      <c r="B5" s="3" t="s">
        <v>8</v>
      </c>
    </row>
    <row r="6" customFormat="false" ht="34.5" hidden="false" customHeight="true" outlineLevel="0" collapsed="false">
      <c r="A6" s="4" t="s">
        <v>9</v>
      </c>
      <c r="B6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8"/>
    <col collapsed="false" customWidth="true" hidden="false" outlineLevel="0" max="6" min="3" style="1" width="13"/>
  </cols>
  <sheetData>
    <row r="1" customFormat="false" ht="15.75" hidden="false" customHeight="true" outlineLevel="0" collapsed="false">
      <c r="A1" s="2" t="s">
        <v>11</v>
      </c>
    </row>
    <row r="2" customFormat="false" ht="15" hidden="false" customHeight="true" outlineLevel="0" collapsed="false">
      <c r="A2" s="5" t="s">
        <v>12</v>
      </c>
    </row>
    <row r="4" customFormat="false" ht="15" hidden="false" customHeight="true" outlineLevel="0" collapsed="false">
      <c r="A4" s="6"/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</row>
    <row r="5" customFormat="false" ht="15" hidden="false" customHeight="true" outlineLevel="0" collapsed="false">
      <c r="B5" s="1" t="s">
        <v>18</v>
      </c>
      <c r="C5" s="7" t="n">
        <v>2</v>
      </c>
    </row>
    <row r="6" customFormat="false" ht="15" hidden="false" customHeight="true" outlineLevel="0" collapsed="false">
      <c r="B6" s="8" t="s">
        <v>19</v>
      </c>
      <c r="C6" s="9" t="n">
        <f aca="false">CHOOSE($C$5,D6,E6,F6)</f>
        <v>1</v>
      </c>
      <c r="D6" s="10" t="n">
        <v>0.6</v>
      </c>
      <c r="E6" s="10" t="n">
        <v>1</v>
      </c>
      <c r="F6" s="10" t="n">
        <v>1.4</v>
      </c>
    </row>
    <row r="7" customFormat="false" ht="15" hidden="false" customHeight="true" outlineLevel="0" collapsed="false">
      <c r="B7" s="8" t="s">
        <v>20</v>
      </c>
      <c r="C7" s="9" t="n">
        <f aca="false">CHOOSE($C$5,D7,E7,F7)</f>
        <v>1</v>
      </c>
      <c r="D7" s="10" t="n">
        <v>0.95</v>
      </c>
      <c r="E7" s="10" t="n">
        <v>1</v>
      </c>
      <c r="F7" s="10" t="n">
        <v>1</v>
      </c>
    </row>
    <row r="8" customFormat="false" ht="15" hidden="false" customHeight="true" outlineLevel="0" collapsed="false">
      <c r="B8" s="8" t="s">
        <v>21</v>
      </c>
      <c r="C8" s="9" t="n">
        <f aca="false">CHOOSE($C$5,D8,E8,F8)</f>
        <v>1</v>
      </c>
      <c r="D8" s="10" t="n">
        <v>1.4</v>
      </c>
      <c r="E8" s="10" t="n">
        <v>1</v>
      </c>
      <c r="F8" s="10" t="n">
        <v>0.8</v>
      </c>
    </row>
    <row r="9" customFormat="false" ht="15" hidden="false" customHeight="true" outlineLevel="0" collapsed="false">
      <c r="B9" s="8" t="s">
        <v>22</v>
      </c>
      <c r="C9" s="9" t="n">
        <f aca="false">CHOOSE($C$5,D9,E9,F9)</f>
        <v>1</v>
      </c>
      <c r="D9" s="10" t="n">
        <v>1.1</v>
      </c>
      <c r="E9" s="10" t="n">
        <v>1</v>
      </c>
      <c r="F9" s="10" t="n">
        <v>1</v>
      </c>
    </row>
    <row r="12" customFormat="false" ht="15" hidden="false" customHeight="true" outlineLevel="0" collapsed="false">
      <c r="B12" s="4" t="s">
        <v>23</v>
      </c>
    </row>
    <row r="13" customFormat="false" ht="15" hidden="false" customHeight="true" outlineLevel="0" collapsed="false">
      <c r="B13" s="8" t="s">
        <v>24</v>
      </c>
      <c r="C13" s="11" t="n">
        <f aca="false">SUM(Demand_Cash_24M!B9:Y9)</f>
        <v>18343453.5254237</v>
      </c>
    </row>
    <row r="14" customFormat="false" ht="15" hidden="false" customHeight="true" outlineLevel="0" collapsed="false">
      <c r="B14" s="8" t="s">
        <v>25</v>
      </c>
      <c r="C14" s="11" t="n">
        <f aca="false">SUM(Demand_Cash_24M!B12:Y12)</f>
        <v>1704972.03233898</v>
      </c>
    </row>
    <row r="15" customFormat="false" ht="15" hidden="false" customHeight="true" outlineLevel="0" collapsed="false">
      <c r="B15" s="8" t="s">
        <v>26</v>
      </c>
      <c r="C15" s="11" t="n">
        <f aca="false">SUM(Demand_Cash_24M!B16:Y16)</f>
        <v>-7255027.96766102</v>
      </c>
    </row>
    <row r="16" customFormat="false" ht="15" hidden="false" customHeight="true" outlineLevel="0" collapsed="false">
      <c r="B16" s="8" t="s">
        <v>27</v>
      </c>
      <c r="C16" s="11" t="n">
        <f aca="false">SUM(Demand_Cash_24M!N16:Y16)</f>
        <v>-3014392.47978814</v>
      </c>
    </row>
    <row r="17" customFormat="false" ht="15" hidden="false" customHeight="true" outlineLevel="0" collapsed="false">
      <c r="B17" s="8" t="s">
        <v>28</v>
      </c>
      <c r="C17" s="11" t="n">
        <f aca="false">MIN(Demand_Cash_24M!B21:Y21)</f>
        <v>-7758839.31038897</v>
      </c>
    </row>
    <row r="18" customFormat="false" ht="15" hidden="false" customHeight="true" outlineLevel="0" collapsed="false">
      <c r="B18" s="8" t="s">
        <v>29</v>
      </c>
      <c r="C18" s="12" t="n">
        <f aca="false">INDEX(Demand_Cash_24M!B4:Y4,MATCH(MIN(Demand_Cash_24M!B21:Y21),Demand_Cash_24M!B21:Y21,0))</f>
        <v>47270</v>
      </c>
    </row>
    <row r="19" customFormat="false" ht="15" hidden="false" customHeight="true" outlineLevel="0" collapsed="false">
      <c r="B19" s="8" t="s">
        <v>30</v>
      </c>
      <c r="C19" s="12" t="str">
        <f aca="false">IFERROR(INDEX(Demand_Cash_24M!B4:Y4,MATCH(TRUE(),INDEX(Demand_Cash_24M!B16:Y16&gt;0,0),0)),"none in 24 months")</f>
        <v>none in 24 months</v>
      </c>
    </row>
    <row r="20" customFormat="false" ht="15" hidden="false" customHeight="true" outlineLevel="0" collapsed="false">
      <c r="B20" s="8" t="s">
        <v>31</v>
      </c>
      <c r="C20" s="11" t="n">
        <f aca="false">Channel_Waterfalls!B25*Scenarios!C7</f>
        <v>355.202506737288</v>
      </c>
    </row>
    <row r="21" customFormat="false" ht="15" hidden="false" customHeight="true" outlineLevel="0" collapsed="false">
      <c r="B21" s="8" t="s">
        <v>32</v>
      </c>
      <c r="C21" s="11" t="n">
        <f aca="false">IF(Channel_Waterfalls!B25&lt;=0,"never",(Assumptions!$C$36*C9+Assumptions!$C$37)/Channel_Waterfalls!B25)</f>
        <v>957.20045199869</v>
      </c>
    </row>
    <row r="22" customFormat="false" ht="15" hidden="false" customHeight="true" outlineLevel="0" collapsed="false">
      <c r="B22" s="8" t="s">
        <v>33</v>
      </c>
      <c r="C22" s="11" t="n">
        <f aca="false">Assumptions!$C$40*C6/12</f>
        <v>250</v>
      </c>
    </row>
  </sheetData>
  <dataValidations count="1">
    <dataValidation allowBlank="false" errorStyle="stop" operator="between" showDropDown="false" showErrorMessage="false" showInputMessage="false" sqref="C5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1"/>
    <col collapsed="false" customWidth="true" hidden="false" outlineLevel="0" max="5" min="5" style="1" width="50"/>
  </cols>
  <sheetData>
    <row r="1" customFormat="false" ht="31.5" hidden="false" customHeight="true" outlineLevel="0" collapsed="false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</row>
    <row r="2" customFormat="false" ht="15" hidden="false" customHeight="true" outlineLevel="0" collapsed="false">
      <c r="A2" s="13" t="s">
        <v>39</v>
      </c>
      <c r="B2" s="14" t="n">
        <v>3.1</v>
      </c>
      <c r="C2" s="13" t="s">
        <v>40</v>
      </c>
      <c r="D2" s="13" t="s">
        <v>41</v>
      </c>
      <c r="E2" s="13" t="s">
        <v>42</v>
      </c>
    </row>
    <row r="3" customFormat="false" ht="15" hidden="false" customHeight="true" outlineLevel="0" collapsed="false">
      <c r="A3" s="13" t="s">
        <v>43</v>
      </c>
      <c r="B3" s="14" t="n">
        <v>86</v>
      </c>
      <c r="C3" s="13" t="s">
        <v>44</v>
      </c>
      <c r="D3" s="13" t="s">
        <v>45</v>
      </c>
      <c r="E3" s="13" t="s">
        <v>46</v>
      </c>
    </row>
    <row r="4" customFormat="false" ht="15" hidden="false" customHeight="true" outlineLevel="0" collapsed="false">
      <c r="A4" s="13" t="s">
        <v>47</v>
      </c>
      <c r="B4" s="15" t="n">
        <v>0.175</v>
      </c>
      <c r="C4" s="13" t="s">
        <v>48</v>
      </c>
      <c r="D4" s="13" t="s">
        <v>49</v>
      </c>
      <c r="E4" s="13"/>
    </row>
    <row r="5" customFormat="false" ht="15" hidden="false" customHeight="true" outlineLevel="0" collapsed="false">
      <c r="A5" s="13" t="s">
        <v>50</v>
      </c>
      <c r="B5" s="15" t="n">
        <v>0.3</v>
      </c>
      <c r="C5" s="13" t="s">
        <v>48</v>
      </c>
      <c r="D5" s="13" t="s">
        <v>51</v>
      </c>
      <c r="E5" s="13"/>
    </row>
    <row r="6" customFormat="false" ht="15" hidden="false" customHeight="true" outlineLevel="0" collapsed="false">
      <c r="A6" s="13" t="s">
        <v>52</v>
      </c>
      <c r="B6" s="15" t="n">
        <v>0.3</v>
      </c>
      <c r="C6" s="13" t="s">
        <v>48</v>
      </c>
      <c r="D6" s="13" t="s">
        <v>53</v>
      </c>
      <c r="E6" s="13" t="s">
        <v>54</v>
      </c>
    </row>
    <row r="7" customFormat="false" ht="15" hidden="false" customHeight="true" outlineLevel="0" collapsed="false">
      <c r="A7" s="13" t="s">
        <v>55</v>
      </c>
      <c r="B7" s="16" t="n">
        <v>18394912</v>
      </c>
      <c r="C7" s="13" t="s">
        <v>56</v>
      </c>
      <c r="D7" s="13" t="s">
        <v>57</v>
      </c>
      <c r="E7" s="13"/>
    </row>
    <row r="8" customFormat="false" ht="15" hidden="false" customHeight="true" outlineLevel="0" collapsed="false">
      <c r="A8" s="13" t="s">
        <v>58</v>
      </c>
      <c r="B8" s="16" t="n">
        <v>16349831</v>
      </c>
      <c r="C8" s="13" t="s">
        <v>56</v>
      </c>
      <c r="D8" s="13" t="s">
        <v>57</v>
      </c>
      <c r="E8" s="13"/>
    </row>
    <row r="9" customFormat="false" ht="15" hidden="false" customHeight="true" outlineLevel="0" collapsed="false">
      <c r="A9" s="13" t="s">
        <v>59</v>
      </c>
      <c r="B9" s="16" t="n">
        <v>8520435</v>
      </c>
      <c r="C9" s="13" t="s">
        <v>56</v>
      </c>
      <c r="D9" s="13" t="s">
        <v>57</v>
      </c>
      <c r="E9" s="13"/>
    </row>
    <row r="10" customFormat="false" ht="15" hidden="false" customHeight="true" outlineLevel="0" collapsed="false">
      <c r="A10" s="13" t="s">
        <v>60</v>
      </c>
      <c r="B10" s="16" t="n">
        <v>5057709</v>
      </c>
      <c r="C10" s="13" t="s">
        <v>56</v>
      </c>
      <c r="D10" s="13" t="s">
        <v>57</v>
      </c>
      <c r="E10" s="13"/>
    </row>
    <row r="11" customFormat="false" ht="15" hidden="false" customHeight="true" outlineLevel="0" collapsed="false">
      <c r="A11" s="13" t="s">
        <v>61</v>
      </c>
      <c r="B11" s="14" t="n">
        <v>1.35</v>
      </c>
      <c r="C11" s="13" t="s">
        <v>62</v>
      </c>
      <c r="D11" s="13" t="s">
        <v>63</v>
      </c>
      <c r="E11" s="13" t="s">
        <v>54</v>
      </c>
    </row>
    <row r="12" customFormat="false" ht="15" hidden="false" customHeight="true" outlineLevel="0" collapsed="false">
      <c r="A12" s="13" t="s">
        <v>64</v>
      </c>
      <c r="B12" s="14" t="n">
        <v>1.35</v>
      </c>
      <c r="C12" s="13" t="s">
        <v>62</v>
      </c>
      <c r="D12" s="13" t="s">
        <v>65</v>
      </c>
      <c r="E12" s="13" t="s">
        <v>54</v>
      </c>
    </row>
    <row r="13" customFormat="false" ht="15" hidden="false" customHeight="true" outlineLevel="0" collapsed="false">
      <c r="A13" s="13" t="s">
        <v>66</v>
      </c>
      <c r="B13" s="14" t="n">
        <v>4.2</v>
      </c>
      <c r="C13" s="13" t="s">
        <v>56</v>
      </c>
      <c r="D13" s="13" t="s">
        <v>67</v>
      </c>
      <c r="E13" s="13" t="s">
        <v>54</v>
      </c>
    </row>
    <row r="14" customFormat="false" ht="15" hidden="false" customHeight="true" outlineLevel="0" collapsed="false">
      <c r="A14" s="13" t="s">
        <v>68</v>
      </c>
      <c r="B14" s="15" t="n">
        <v>0.12</v>
      </c>
      <c r="C14" s="13" t="s">
        <v>48</v>
      </c>
      <c r="D14" s="13" t="s">
        <v>69</v>
      </c>
      <c r="E14" s="13" t="s">
        <v>70</v>
      </c>
    </row>
    <row r="15" customFormat="false" ht="15" hidden="false" customHeight="true" outlineLevel="0" collapsed="false">
      <c r="A15" s="13" t="s">
        <v>71</v>
      </c>
      <c r="B15" s="14" t="n">
        <v>0.4</v>
      </c>
      <c r="C15" s="13" t="s">
        <v>72</v>
      </c>
      <c r="D15" s="13" t="s">
        <v>73</v>
      </c>
      <c r="E15" s="13" t="s">
        <v>54</v>
      </c>
    </row>
    <row r="16" customFormat="false" ht="15" hidden="false" customHeight="true" outlineLevel="0" collapsed="false">
      <c r="A16" s="13" t="s">
        <v>74</v>
      </c>
      <c r="B16" s="17" t="n">
        <v>1.5</v>
      </c>
      <c r="C16" s="13" t="s">
        <v>75</v>
      </c>
      <c r="D16" s="13" t="s">
        <v>76</v>
      </c>
      <c r="E16" s="13" t="s">
        <v>77</v>
      </c>
    </row>
    <row r="17" customFormat="false" ht="15" hidden="false" customHeight="true" outlineLevel="0" collapsed="false">
      <c r="A17" s="13" t="s">
        <v>78</v>
      </c>
      <c r="B17" s="18" t="n">
        <v>5000</v>
      </c>
      <c r="C17" s="13" t="s">
        <v>79</v>
      </c>
      <c r="D17" s="13" t="s">
        <v>80</v>
      </c>
      <c r="E17" s="13" t="s">
        <v>81</v>
      </c>
    </row>
    <row r="18" customFormat="false" ht="15" hidden="false" customHeight="true" outlineLevel="0" collapsed="false">
      <c r="A18" s="13" t="s">
        <v>82</v>
      </c>
      <c r="B18" s="19" t="n">
        <v>0.005</v>
      </c>
      <c r="C18" s="13" t="s">
        <v>48</v>
      </c>
      <c r="D18" s="13" t="s">
        <v>83</v>
      </c>
      <c r="E18" s="1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0"/>
    <col collapsed="false" customWidth="true" hidden="false" outlineLevel="0" max="5" min="3" style="1" width="13"/>
    <col collapsed="false" customWidth="true" hidden="false" outlineLevel="0" max="6" min="6" style="1" width="12"/>
    <col collapsed="false" customWidth="true" hidden="false" outlineLevel="0" max="7" min="7" style="1" width="70"/>
  </cols>
  <sheetData>
    <row r="1" customFormat="false" ht="15.75" hidden="false" customHeight="true" outlineLevel="0" collapsed="false">
      <c r="A1" s="2" t="s">
        <v>85</v>
      </c>
    </row>
    <row r="2" customFormat="false" ht="15" hidden="false" customHeight="true" outlineLevel="0" collapsed="false">
      <c r="A2" s="5" t="s">
        <v>86</v>
      </c>
    </row>
    <row r="4" customFormat="false" ht="15" hidden="false" customHeight="true" outlineLevel="0" collapsed="false">
      <c r="A4" s="6" t="s">
        <v>87</v>
      </c>
      <c r="B4" s="6" t="s">
        <v>34</v>
      </c>
      <c r="C4" s="6" t="s">
        <v>88</v>
      </c>
      <c r="D4" s="6" t="s">
        <v>89</v>
      </c>
      <c r="E4" s="6" t="s">
        <v>90</v>
      </c>
      <c r="F4" s="6" t="s">
        <v>36</v>
      </c>
      <c r="G4" s="6" t="s">
        <v>91</v>
      </c>
    </row>
    <row r="5" customFormat="false" ht="23.25" hidden="false" customHeight="true" outlineLevel="0" collapsed="false">
      <c r="A5" s="8" t="s">
        <v>92</v>
      </c>
      <c r="B5" s="8" t="s">
        <v>93</v>
      </c>
      <c r="C5" s="20" t="n">
        <v>2499</v>
      </c>
      <c r="D5" s="20" t="n">
        <v>4999</v>
      </c>
      <c r="E5" s="20" t="n">
        <v>8999</v>
      </c>
      <c r="F5" s="8" t="s">
        <v>79</v>
      </c>
      <c r="G5" s="3" t="s">
        <v>94</v>
      </c>
    </row>
    <row r="6" customFormat="false" ht="15" hidden="false" customHeight="true" outlineLevel="0" collapsed="false">
      <c r="A6" s="8" t="s">
        <v>95</v>
      </c>
      <c r="B6" s="8" t="s">
        <v>96</v>
      </c>
      <c r="C6" s="21" t="n">
        <v>5</v>
      </c>
      <c r="D6" s="21" t="n">
        <v>5</v>
      </c>
      <c r="E6" s="21" t="n">
        <v>7.5</v>
      </c>
      <c r="F6" s="8" t="s">
        <v>97</v>
      </c>
      <c r="G6" s="3" t="s">
        <v>98</v>
      </c>
    </row>
    <row r="7" customFormat="false" ht="23.25" hidden="false" customHeight="true" outlineLevel="0" collapsed="false">
      <c r="A7" s="8" t="s">
        <v>99</v>
      </c>
      <c r="B7" s="8" t="s">
        <v>100</v>
      </c>
      <c r="C7" s="20" t="n">
        <v>180</v>
      </c>
      <c r="D7" s="20" t="n">
        <v>350</v>
      </c>
      <c r="E7" s="20" t="n">
        <v>450</v>
      </c>
      <c r="F7" s="8" t="s">
        <v>101</v>
      </c>
      <c r="G7" s="3" t="s">
        <v>102</v>
      </c>
    </row>
    <row r="8" customFormat="false" ht="15" hidden="false" customHeight="true" outlineLevel="0" collapsed="false">
      <c r="A8" s="8" t="s">
        <v>103</v>
      </c>
      <c r="B8" s="8" t="s">
        <v>104</v>
      </c>
      <c r="C8" s="20" t="n">
        <v>350</v>
      </c>
      <c r="D8" s="20" t="n">
        <v>500</v>
      </c>
      <c r="E8" s="20" t="n">
        <v>1200</v>
      </c>
      <c r="F8" s="8" t="s">
        <v>79</v>
      </c>
      <c r="G8" s="3" t="s">
        <v>105</v>
      </c>
    </row>
    <row r="9" customFormat="false" ht="15" hidden="false" customHeight="true" outlineLevel="0" collapsed="false">
      <c r="A9" s="8" t="s">
        <v>106</v>
      </c>
      <c r="B9" s="8" t="s">
        <v>107</v>
      </c>
      <c r="C9" s="21" t="n">
        <v>60</v>
      </c>
      <c r="D9" s="21" t="n">
        <v>120</v>
      </c>
      <c r="E9" s="21" t="n">
        <v>250</v>
      </c>
      <c r="F9" s="8" t="s">
        <v>79</v>
      </c>
      <c r="G9" s="3" t="s">
        <v>54</v>
      </c>
    </row>
    <row r="10" customFormat="false" ht="15" hidden="false" customHeight="true" outlineLevel="0" collapsed="false">
      <c r="A10" s="8" t="s">
        <v>108</v>
      </c>
      <c r="B10" s="8" t="s">
        <v>109</v>
      </c>
      <c r="C10" s="21" t="n">
        <v>90</v>
      </c>
      <c r="D10" s="21" t="n">
        <v>150</v>
      </c>
      <c r="E10" s="21" t="n">
        <v>300</v>
      </c>
      <c r="F10" s="8" t="s">
        <v>79</v>
      </c>
      <c r="G10" s="3" t="s">
        <v>110</v>
      </c>
    </row>
    <row r="11" customFormat="false" ht="15" hidden="false" customHeight="true" outlineLevel="0" collapsed="false">
      <c r="A11" s="8" t="s">
        <v>111</v>
      </c>
      <c r="B11" s="8" t="s">
        <v>112</v>
      </c>
      <c r="C11" s="21" t="n">
        <v>30</v>
      </c>
      <c r="D11" s="21" t="n">
        <v>30</v>
      </c>
      <c r="E11" s="21" t="n">
        <v>40</v>
      </c>
      <c r="F11" s="8" t="s">
        <v>79</v>
      </c>
      <c r="G11" s="3" t="s">
        <v>113</v>
      </c>
    </row>
    <row r="12" customFormat="false" ht="15" hidden="false" customHeight="true" outlineLevel="0" collapsed="false">
      <c r="A12" s="8" t="s">
        <v>114</v>
      </c>
      <c r="B12" s="8" t="s">
        <v>115</v>
      </c>
      <c r="C12" s="22" t="n">
        <v>0.08</v>
      </c>
      <c r="D12" s="22" t="n">
        <v>0.08</v>
      </c>
      <c r="E12" s="22" t="n">
        <v>0.1</v>
      </c>
      <c r="F12" s="8" t="s">
        <v>116</v>
      </c>
      <c r="G12" s="3" t="s">
        <v>54</v>
      </c>
    </row>
    <row r="13" customFormat="false" ht="15" hidden="false" customHeight="true" outlineLevel="0" collapsed="false">
      <c r="A13" s="8" t="s">
        <v>117</v>
      </c>
      <c r="B13" s="8" t="s">
        <v>118</v>
      </c>
      <c r="C13" s="22" t="n">
        <v>0.45</v>
      </c>
      <c r="D13" s="22" t="n">
        <v>0.4</v>
      </c>
      <c r="E13" s="22" t="n">
        <v>0.15</v>
      </c>
      <c r="F13" s="8" t="s">
        <v>48</v>
      </c>
      <c r="G13" s="3" t="s">
        <v>119</v>
      </c>
    </row>
    <row r="15" customFormat="false" ht="15" hidden="false" customHeight="true" outlineLevel="0" collapsed="false">
      <c r="A15" s="4" t="s">
        <v>120</v>
      </c>
    </row>
    <row r="16" customFormat="false" ht="15" hidden="false" customHeight="true" outlineLevel="0" collapsed="false">
      <c r="A16" s="8" t="s">
        <v>121</v>
      </c>
      <c r="B16" s="8" t="s">
        <v>122</v>
      </c>
      <c r="C16" s="23" t="n">
        <v>0.05</v>
      </c>
      <c r="G16" s="8" t="s">
        <v>123</v>
      </c>
    </row>
    <row r="17" customFormat="false" ht="15" hidden="false" customHeight="true" outlineLevel="0" collapsed="false">
      <c r="A17" s="8" t="s">
        <v>124</v>
      </c>
      <c r="B17" s="8" t="s">
        <v>125</v>
      </c>
      <c r="C17" s="23" t="n">
        <v>0.18</v>
      </c>
      <c r="G17" s="8" t="s">
        <v>126</v>
      </c>
    </row>
    <row r="18" customFormat="false" ht="15" hidden="false" customHeight="true" outlineLevel="0" collapsed="false">
      <c r="A18" s="8" t="s">
        <v>127</v>
      </c>
      <c r="B18" s="8" t="s">
        <v>128</v>
      </c>
      <c r="C18" s="20" t="n">
        <v>2500</v>
      </c>
      <c r="G18" s="8" t="s">
        <v>129</v>
      </c>
    </row>
    <row r="20" customFormat="false" ht="15" hidden="false" customHeight="true" outlineLevel="0" collapsed="false">
      <c r="A20" s="4" t="s">
        <v>130</v>
      </c>
    </row>
    <row r="21" customFormat="false" ht="23.25" hidden="false" customHeight="true" outlineLevel="0" collapsed="false">
      <c r="A21" s="6" t="s">
        <v>87</v>
      </c>
      <c r="B21" s="6" t="s">
        <v>34</v>
      </c>
      <c r="C21" s="6" t="s">
        <v>131</v>
      </c>
      <c r="D21" s="6" t="s">
        <v>132</v>
      </c>
      <c r="E21" s="6" t="s">
        <v>133</v>
      </c>
      <c r="F21" s="6" t="s">
        <v>134</v>
      </c>
      <c r="G21" s="6" t="s">
        <v>91</v>
      </c>
    </row>
    <row r="22" customFormat="false" ht="15" hidden="false" customHeight="true" outlineLevel="0" collapsed="false">
      <c r="A22" s="8" t="s">
        <v>135</v>
      </c>
      <c r="B22" s="8" t="s">
        <v>118</v>
      </c>
      <c r="C22" s="22" t="n">
        <v>0.35</v>
      </c>
      <c r="D22" s="22" t="n">
        <v>0.3</v>
      </c>
      <c r="E22" s="22" t="n">
        <v>0.2</v>
      </c>
      <c r="F22" s="22" t="n">
        <v>0.15</v>
      </c>
      <c r="G22" s="3" t="s">
        <v>136</v>
      </c>
    </row>
    <row r="23" customFormat="false" ht="15" hidden="false" customHeight="true" outlineLevel="0" collapsed="false">
      <c r="A23" s="8" t="s">
        <v>137</v>
      </c>
      <c r="B23" s="8" t="s">
        <v>138</v>
      </c>
      <c r="C23" s="22" t="n">
        <v>0</v>
      </c>
      <c r="D23" s="22" t="n">
        <v>0</v>
      </c>
      <c r="E23" s="22" t="n">
        <v>0</v>
      </c>
      <c r="F23" s="22" t="n">
        <v>0.15</v>
      </c>
      <c r="G23" s="3" t="s">
        <v>139</v>
      </c>
    </row>
    <row r="24" customFormat="false" ht="15" hidden="false" customHeight="true" outlineLevel="0" collapsed="false">
      <c r="A24" s="8" t="s">
        <v>140</v>
      </c>
      <c r="B24" s="8" t="s">
        <v>141</v>
      </c>
      <c r="C24" s="23" t="n">
        <v>0</v>
      </c>
      <c r="D24" s="23" t="n">
        <v>0.275</v>
      </c>
      <c r="E24" s="23" t="n">
        <v>0</v>
      </c>
      <c r="F24" s="23" t="n">
        <v>0</v>
      </c>
      <c r="G24" s="3" t="s">
        <v>142</v>
      </c>
    </row>
    <row r="25" customFormat="false" ht="15" hidden="false" customHeight="true" outlineLevel="0" collapsed="false">
      <c r="A25" s="8" t="s">
        <v>143</v>
      </c>
      <c r="B25" s="8" t="s">
        <v>144</v>
      </c>
      <c r="C25" s="21" t="n">
        <v>0</v>
      </c>
      <c r="D25" s="21" t="n">
        <v>25</v>
      </c>
      <c r="E25" s="21" t="n">
        <v>0</v>
      </c>
      <c r="F25" s="21" t="n">
        <v>0</v>
      </c>
      <c r="G25" s="3" t="s">
        <v>145</v>
      </c>
    </row>
    <row r="26" customFormat="false" ht="15" hidden="false" customHeight="true" outlineLevel="0" collapsed="false">
      <c r="A26" s="8" t="s">
        <v>146</v>
      </c>
      <c r="B26" s="8" t="s">
        <v>147</v>
      </c>
      <c r="C26" s="23" t="n">
        <v>0.0236</v>
      </c>
      <c r="D26" s="23" t="n">
        <v>0</v>
      </c>
      <c r="E26" s="23" t="n">
        <v>0.0236</v>
      </c>
      <c r="F26" s="23" t="n">
        <v>0</v>
      </c>
      <c r="G26" s="3" t="s">
        <v>148</v>
      </c>
    </row>
    <row r="27" customFormat="false" ht="15" hidden="false" customHeight="true" outlineLevel="0" collapsed="false">
      <c r="A27" s="8" t="s">
        <v>149</v>
      </c>
      <c r="B27" s="8" t="s">
        <v>150</v>
      </c>
      <c r="C27" s="20" t="n">
        <v>60</v>
      </c>
      <c r="D27" s="20" t="n">
        <v>90</v>
      </c>
      <c r="E27" s="20" t="n">
        <v>0</v>
      </c>
      <c r="F27" s="20" t="n">
        <v>30</v>
      </c>
      <c r="G27" s="3" t="s">
        <v>151</v>
      </c>
    </row>
    <row r="28" customFormat="false" ht="15" hidden="false" customHeight="true" outlineLevel="0" collapsed="false">
      <c r="A28" s="8" t="s">
        <v>152</v>
      </c>
      <c r="B28" s="8" t="s">
        <v>153</v>
      </c>
      <c r="C28" s="23" t="n">
        <v>0.2</v>
      </c>
      <c r="D28" s="23" t="n">
        <v>0.25</v>
      </c>
      <c r="E28" s="23" t="n">
        <v>0.03</v>
      </c>
      <c r="F28" s="23" t="n">
        <v>0.02</v>
      </c>
      <c r="G28" s="3" t="s">
        <v>154</v>
      </c>
    </row>
    <row r="29" customFormat="false" ht="15" hidden="false" customHeight="true" outlineLevel="0" collapsed="false">
      <c r="A29" s="8" t="s">
        <v>155</v>
      </c>
      <c r="B29" s="8" t="s">
        <v>156</v>
      </c>
      <c r="C29" s="20" t="n">
        <v>70</v>
      </c>
      <c r="D29" s="20" t="n">
        <v>90</v>
      </c>
      <c r="E29" s="20" t="n">
        <v>0</v>
      </c>
      <c r="F29" s="20" t="n">
        <v>0</v>
      </c>
      <c r="G29" s="3" t="s">
        <v>157</v>
      </c>
    </row>
    <row r="30" customFormat="false" ht="15" hidden="false" customHeight="true" outlineLevel="0" collapsed="false">
      <c r="A30" s="8" t="s">
        <v>158</v>
      </c>
      <c r="B30" s="8" t="s">
        <v>159</v>
      </c>
      <c r="C30" s="22" t="n">
        <v>0.1</v>
      </c>
      <c r="D30" s="22" t="n">
        <v>0.1</v>
      </c>
      <c r="E30" s="22" t="n">
        <v>0.1</v>
      </c>
      <c r="F30" s="22" t="n">
        <v>0.1</v>
      </c>
      <c r="G30" s="3" t="s">
        <v>54</v>
      </c>
    </row>
    <row r="31" customFormat="false" ht="15" hidden="false" customHeight="true" outlineLevel="0" collapsed="false">
      <c r="A31" s="8" t="s">
        <v>160</v>
      </c>
      <c r="B31" s="8" t="s">
        <v>161</v>
      </c>
      <c r="C31" s="23" t="n">
        <v>0.64</v>
      </c>
      <c r="D31" s="23" t="n">
        <v>0</v>
      </c>
      <c r="E31" s="23" t="n">
        <v>0</v>
      </c>
      <c r="F31" s="23" t="n">
        <v>0</v>
      </c>
      <c r="G31" s="3" t="s">
        <v>162</v>
      </c>
    </row>
    <row r="32" customFormat="false" ht="15" hidden="false" customHeight="true" outlineLevel="0" collapsed="false">
      <c r="A32" s="8" t="s">
        <v>163</v>
      </c>
      <c r="B32" s="8" t="s">
        <v>164</v>
      </c>
      <c r="C32" s="23" t="n">
        <v>0.2</v>
      </c>
      <c r="D32" s="23" t="n">
        <v>0</v>
      </c>
      <c r="E32" s="23" t="n">
        <v>0</v>
      </c>
      <c r="F32" s="23" t="n">
        <v>0</v>
      </c>
      <c r="G32" s="3" t="s">
        <v>165</v>
      </c>
    </row>
    <row r="33" customFormat="false" ht="23.25" hidden="false" customHeight="true" outlineLevel="0" collapsed="false">
      <c r="A33" s="8" t="s">
        <v>166</v>
      </c>
      <c r="B33" s="8" t="s">
        <v>167</v>
      </c>
      <c r="C33" s="21" t="n">
        <v>550</v>
      </c>
      <c r="D33" s="21" t="n">
        <v>150</v>
      </c>
      <c r="E33" s="21" t="n">
        <v>450</v>
      </c>
      <c r="F33" s="21" t="n">
        <v>200</v>
      </c>
      <c r="G33" s="3" t="s">
        <v>168</v>
      </c>
    </row>
    <row r="35" customFormat="false" ht="15" hidden="false" customHeight="true" outlineLevel="0" collapsed="false">
      <c r="A35" s="4" t="s">
        <v>169</v>
      </c>
    </row>
    <row r="36" customFormat="false" ht="15" hidden="false" customHeight="true" outlineLevel="0" collapsed="false">
      <c r="A36" s="8" t="s">
        <v>170</v>
      </c>
      <c r="B36" s="8" t="s">
        <v>171</v>
      </c>
      <c r="C36" s="21" t="n">
        <v>265000</v>
      </c>
      <c r="F36" s="8" t="s">
        <v>172</v>
      </c>
      <c r="G36" s="8" t="s">
        <v>54</v>
      </c>
    </row>
    <row r="37" customFormat="false" ht="15" hidden="false" customHeight="true" outlineLevel="0" collapsed="false">
      <c r="A37" s="8" t="s">
        <v>173</v>
      </c>
      <c r="B37" s="8" t="s">
        <v>174</v>
      </c>
      <c r="C37" s="21" t="n">
        <v>75000</v>
      </c>
      <c r="F37" s="8" t="s">
        <v>172</v>
      </c>
      <c r="G37" s="8" t="s">
        <v>54</v>
      </c>
    </row>
    <row r="38" customFormat="false" ht="15" hidden="false" customHeight="true" outlineLevel="0" collapsed="false">
      <c r="A38" s="8" t="s">
        <v>175</v>
      </c>
      <c r="B38" s="8" t="s">
        <v>176</v>
      </c>
      <c r="C38" s="21" t="n">
        <v>800000</v>
      </c>
      <c r="F38" s="8" t="s">
        <v>79</v>
      </c>
      <c r="G38" s="8" t="s">
        <v>54</v>
      </c>
    </row>
    <row r="39" customFormat="false" ht="15" hidden="false" customHeight="true" outlineLevel="0" collapsed="false">
      <c r="A39" s="8" t="s">
        <v>177</v>
      </c>
      <c r="B39" s="8" t="s">
        <v>178</v>
      </c>
      <c r="C39" s="20" t="n">
        <v>1800</v>
      </c>
      <c r="F39" s="8" t="s">
        <v>179</v>
      </c>
      <c r="G39" s="8" t="s">
        <v>180</v>
      </c>
    </row>
    <row r="40" customFormat="false" ht="15" hidden="false" customHeight="true" outlineLevel="0" collapsed="false">
      <c r="A40" s="8" t="s">
        <v>181</v>
      </c>
      <c r="B40" s="8" t="s">
        <v>182</v>
      </c>
      <c r="C40" s="20" t="n">
        <v>3000</v>
      </c>
      <c r="F40" s="8" t="s">
        <v>179</v>
      </c>
      <c r="G40" s="8" t="s">
        <v>183</v>
      </c>
    </row>
    <row r="41" customFormat="false" ht="15" hidden="false" customHeight="true" outlineLevel="0" collapsed="false">
      <c r="A41" s="8" t="s">
        <v>184</v>
      </c>
      <c r="B41" s="8" t="s">
        <v>185</v>
      </c>
      <c r="C41" s="20" t="n">
        <v>1</v>
      </c>
      <c r="F41" s="8" t="s">
        <v>186</v>
      </c>
      <c r="G41" s="8" t="s">
        <v>187</v>
      </c>
    </row>
    <row r="42" customFormat="false" ht="15" hidden="false" customHeight="true" outlineLevel="0" collapsed="false">
      <c r="A42" s="8" t="s">
        <v>188</v>
      </c>
      <c r="B42" s="8" t="s">
        <v>189</v>
      </c>
      <c r="C42" s="21" t="n">
        <v>1</v>
      </c>
      <c r="F42" s="8" t="s">
        <v>186</v>
      </c>
      <c r="G42" s="8" t="s">
        <v>190</v>
      </c>
    </row>
    <row r="44" customFormat="false" ht="15" hidden="false" customHeight="true" outlineLevel="0" collapsed="false">
      <c r="A44" s="4" t="s">
        <v>191</v>
      </c>
    </row>
    <row r="45" customFormat="false" ht="23.25" hidden="false" customHeight="true" outlineLevel="0" collapsed="false">
      <c r="A45" s="6" t="s">
        <v>192</v>
      </c>
      <c r="B45" s="6" t="s">
        <v>193</v>
      </c>
      <c r="C45" s="6" t="s">
        <v>194</v>
      </c>
      <c r="D45" s="6" t="s">
        <v>195</v>
      </c>
      <c r="E45" s="6" t="s">
        <v>196</v>
      </c>
      <c r="F45" s="6"/>
      <c r="G45" s="6" t="s">
        <v>197</v>
      </c>
    </row>
    <row r="46" customFormat="false" ht="15" hidden="false" customHeight="true" outlineLevel="0" collapsed="false">
      <c r="A46" s="8" t="s">
        <v>198</v>
      </c>
      <c r="B46" s="24" t="n">
        <v>93</v>
      </c>
      <c r="C46" s="24" t="n">
        <v>120</v>
      </c>
      <c r="D46" s="8" t="n">
        <f aca="false">AVERAGE(B46:C46)</f>
        <v>106.5</v>
      </c>
      <c r="E46" s="25" t="n">
        <f aca="false">D46/SUM($D$46:$D$57)</f>
        <v>0.0887130362349021</v>
      </c>
    </row>
    <row r="47" customFormat="false" ht="15" hidden="false" customHeight="true" outlineLevel="0" collapsed="false">
      <c r="A47" s="8" t="s">
        <v>199</v>
      </c>
      <c r="B47" s="24" t="n">
        <v>103</v>
      </c>
      <c r="C47" s="24" t="n">
        <v>121</v>
      </c>
      <c r="D47" s="8" t="n">
        <f aca="false">AVERAGE(B47:C47)</f>
        <v>112</v>
      </c>
      <c r="E47" s="25" t="n">
        <f aca="false">D47/SUM($D$46:$D$57)</f>
        <v>0.0932944606413994</v>
      </c>
    </row>
    <row r="48" customFormat="false" ht="15" hidden="false" customHeight="true" outlineLevel="0" collapsed="false">
      <c r="A48" s="8" t="s">
        <v>200</v>
      </c>
      <c r="B48" s="24" t="n">
        <v>121</v>
      </c>
      <c r="C48" s="24" t="n">
        <v>98</v>
      </c>
      <c r="D48" s="8" t="n">
        <f aca="false">AVERAGE(B48:C48)</f>
        <v>109.5</v>
      </c>
      <c r="E48" s="25" t="n">
        <f aca="false">D48/SUM($D$46:$D$57)</f>
        <v>0.0912119950020825</v>
      </c>
    </row>
    <row r="49" customFormat="false" ht="15" hidden="false" customHeight="true" outlineLevel="0" collapsed="false">
      <c r="A49" s="8" t="s">
        <v>201</v>
      </c>
      <c r="B49" s="24" t="n">
        <v>129</v>
      </c>
      <c r="C49" s="24" t="n">
        <v>140</v>
      </c>
      <c r="D49" s="8" t="n">
        <f aca="false">AVERAGE(B49:C49)</f>
        <v>134.5</v>
      </c>
      <c r="E49" s="25" t="n">
        <f aca="false">D49/SUM($D$46:$D$57)</f>
        <v>0.112036651395252</v>
      </c>
    </row>
    <row r="50" customFormat="false" ht="15" hidden="false" customHeight="true" outlineLevel="0" collapsed="false">
      <c r="A50" s="8" t="s">
        <v>202</v>
      </c>
      <c r="B50" s="24" t="n">
        <v>75</v>
      </c>
      <c r="C50" s="24" t="n">
        <v>79</v>
      </c>
      <c r="D50" s="8" t="n">
        <f aca="false">AVERAGE(B50:C50)</f>
        <v>77</v>
      </c>
      <c r="E50" s="25" t="n">
        <f aca="false">D50/SUM($D$46:$D$57)</f>
        <v>0.0641399416909621</v>
      </c>
    </row>
    <row r="51" customFormat="false" ht="15" hidden="false" customHeight="true" outlineLevel="0" collapsed="false">
      <c r="A51" s="8" t="s">
        <v>203</v>
      </c>
      <c r="B51" s="24" t="n">
        <v>57</v>
      </c>
      <c r="C51" s="24" t="n">
        <v>51</v>
      </c>
      <c r="D51" s="8" t="n">
        <f aca="false">AVERAGE(B51:C51)</f>
        <v>54</v>
      </c>
      <c r="E51" s="25" t="n">
        <f aca="false">D51/SUM($D$46:$D$57)</f>
        <v>0.0449812578092461</v>
      </c>
    </row>
    <row r="52" customFormat="false" ht="15" hidden="false" customHeight="true" outlineLevel="0" collapsed="false">
      <c r="A52" s="8" t="s">
        <v>204</v>
      </c>
      <c r="B52" s="24" t="n">
        <v>53</v>
      </c>
      <c r="C52" s="24" t="n">
        <v>41</v>
      </c>
      <c r="D52" s="8" t="n">
        <f aca="false">AVERAGE(B52:C52)</f>
        <v>47</v>
      </c>
      <c r="E52" s="25" t="n">
        <f aca="false">D52/SUM($D$46:$D$57)</f>
        <v>0.0391503540191587</v>
      </c>
    </row>
    <row r="53" customFormat="false" ht="15" hidden="false" customHeight="true" outlineLevel="0" collapsed="false">
      <c r="A53" s="8" t="s">
        <v>205</v>
      </c>
      <c r="B53" s="24" t="n">
        <v>80</v>
      </c>
      <c r="C53" s="24" t="n">
        <v>50</v>
      </c>
      <c r="D53" s="8" t="n">
        <f aca="false">AVERAGE(B53:C53)</f>
        <v>65</v>
      </c>
      <c r="E53" s="25" t="n">
        <f aca="false">D53/SUM($D$46:$D$57)</f>
        <v>0.0541441066222407</v>
      </c>
    </row>
    <row r="54" customFormat="false" ht="15" hidden="false" customHeight="true" outlineLevel="0" collapsed="false">
      <c r="A54" s="8" t="s">
        <v>206</v>
      </c>
      <c r="B54" s="24" t="n">
        <v>106</v>
      </c>
      <c r="C54" s="24" t="n">
        <v>64</v>
      </c>
      <c r="D54" s="8" t="n">
        <f aca="false">AVERAGE(B54:C54)</f>
        <v>85</v>
      </c>
      <c r="E54" s="25" t="n">
        <f aca="false">D54/SUM($D$46:$D$57)</f>
        <v>0.0708038317367764</v>
      </c>
    </row>
    <row r="55" customFormat="false" ht="15" hidden="false" customHeight="true" outlineLevel="0" collapsed="false">
      <c r="A55" s="8" t="s">
        <v>207</v>
      </c>
      <c r="B55" s="24" t="n">
        <v>178</v>
      </c>
      <c r="C55" s="24" t="n">
        <v>113</v>
      </c>
      <c r="D55" s="8" t="n">
        <f aca="false">AVERAGE(B55:C55)</f>
        <v>145.5</v>
      </c>
      <c r="E55" s="25" t="n">
        <f aca="false">D55/SUM($D$46:$D$57)</f>
        <v>0.121199500208247</v>
      </c>
    </row>
    <row r="56" customFormat="false" ht="15" hidden="false" customHeight="true" outlineLevel="0" collapsed="false">
      <c r="A56" s="8" t="s">
        <v>208</v>
      </c>
      <c r="B56" s="24" t="n">
        <v>129</v>
      </c>
      <c r="C56" s="24" t="n">
        <v>195</v>
      </c>
      <c r="D56" s="8" t="n">
        <f aca="false">AVERAGE(B56:C56)</f>
        <v>162</v>
      </c>
      <c r="E56" s="25" t="n">
        <f aca="false">D56/SUM($D$46:$D$57)</f>
        <v>0.134943773427738</v>
      </c>
    </row>
    <row r="57" customFormat="false" ht="15" hidden="false" customHeight="true" outlineLevel="0" collapsed="false">
      <c r="A57" s="8" t="s">
        <v>209</v>
      </c>
      <c r="B57" s="24" t="n">
        <v>77</v>
      </c>
      <c r="C57" s="24" t="n">
        <v>128</v>
      </c>
      <c r="D57" s="8" t="n">
        <f aca="false">AVERAGE(B57:C57)</f>
        <v>102.5</v>
      </c>
      <c r="E57" s="25" t="n">
        <f aca="false">D57/SUM($D$46:$D$57)</f>
        <v>0.085381091211995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9"/>
    <col collapsed="false" customWidth="true" hidden="false" outlineLevel="0" max="4" min="4" style="1" width="13"/>
    <col collapsed="false" customWidth="true" hidden="false" outlineLevel="0" max="6" min="5" style="1" width="11"/>
    <col collapsed="false" customWidth="true" hidden="false" outlineLevel="0" max="8" min="7" style="1" width="10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12"/>
    <col collapsed="false" customWidth="true" hidden="false" outlineLevel="0" max="13" min="13" style="1" width="11"/>
    <col collapsed="false" customWidth="true" hidden="false" outlineLevel="0" max="14" min="14" style="1" width="13"/>
    <col collapsed="false" customWidth="true" hidden="false" outlineLevel="0" max="15" min="15" style="1" width="10"/>
  </cols>
  <sheetData>
    <row r="1" customFormat="false" ht="15.75" hidden="false" customHeight="true" outlineLevel="0" collapsed="false">
      <c r="A1" s="2" t="s">
        <v>210</v>
      </c>
    </row>
    <row r="2" customFormat="false" ht="15" hidden="false" customHeight="true" outlineLevel="0" collapsed="false">
      <c r="A2" s="5" t="s">
        <v>211</v>
      </c>
    </row>
    <row r="4" customFormat="false" ht="23.25" hidden="false" customHeight="true" outlineLevel="0" collapsed="false">
      <c r="A4" s="6" t="s">
        <v>212</v>
      </c>
      <c r="B4" s="6" t="s">
        <v>213</v>
      </c>
      <c r="C4" s="6" t="s">
        <v>214</v>
      </c>
      <c r="D4" s="6" t="s">
        <v>215</v>
      </c>
      <c r="E4" s="6" t="s">
        <v>216</v>
      </c>
      <c r="F4" s="6" t="s">
        <v>217</v>
      </c>
      <c r="G4" s="6" t="s">
        <v>218</v>
      </c>
      <c r="H4" s="6" t="s">
        <v>219</v>
      </c>
      <c r="I4" s="6" t="s">
        <v>220</v>
      </c>
      <c r="J4" s="6" t="s">
        <v>221</v>
      </c>
      <c r="K4" s="6" t="s">
        <v>222</v>
      </c>
      <c r="L4" s="6" t="s">
        <v>223</v>
      </c>
      <c r="M4" s="6" t="s">
        <v>224</v>
      </c>
      <c r="N4" s="6" t="s">
        <v>225</v>
      </c>
      <c r="O4" s="6" t="s">
        <v>226</v>
      </c>
    </row>
    <row r="5" customFormat="false" ht="15" hidden="false" customHeight="true" outlineLevel="0" collapsed="false">
      <c r="A5" s="4" t="s">
        <v>88</v>
      </c>
      <c r="B5" s="26" t="n">
        <f aca="false">Assumptions!$C$5</f>
        <v>2499</v>
      </c>
      <c r="C5" s="25" t="n">
        <f aca="false">IF(B5&lt;=Assumptions!$C$18,Assumptions!$C$16,Assumptions!$C$17)</f>
        <v>0.05</v>
      </c>
      <c r="D5" s="27" t="n">
        <f aca="false">B5/(1+C5)</f>
        <v>2380</v>
      </c>
      <c r="E5" s="27" t="n">
        <f aca="false">Assumptions!$C$6*Assumptions!$C$7</f>
        <v>900</v>
      </c>
      <c r="F5" s="27" t="n">
        <f aca="false">(E5+H5)*Assumptions!$C$12</f>
        <v>76.8</v>
      </c>
      <c r="G5" s="26" t="n">
        <f aca="false">Assumptions!$C$8</f>
        <v>350</v>
      </c>
      <c r="H5" s="26" t="n">
        <f aca="false">Assumptions!$C$9</f>
        <v>60</v>
      </c>
      <c r="I5" s="26" t="n">
        <f aca="false">Assumptions!$C$10</f>
        <v>90</v>
      </c>
      <c r="J5" s="26" t="n">
        <f aca="false">Assumptions!$C$11</f>
        <v>30</v>
      </c>
      <c r="K5" s="27" t="n">
        <f aca="false">SUM(E5:J5)</f>
        <v>1506.8</v>
      </c>
      <c r="L5" s="27" t="n">
        <f aca="false">D5-K5</f>
        <v>873.2</v>
      </c>
      <c r="M5" s="25" t="n">
        <f aca="false">IF(D5=0,0,L5/D5)</f>
        <v>0.366890756302521</v>
      </c>
      <c r="N5" s="27" t="str">
        <f aca="false">IF(M5&gt;=0.5,"yes","NO")</f>
        <v>NO</v>
      </c>
      <c r="O5" s="28" t="n">
        <f aca="false">Assumptions!$C$13</f>
        <v>0.45</v>
      </c>
    </row>
    <row r="6" customFormat="false" ht="15" hidden="false" customHeight="true" outlineLevel="0" collapsed="false">
      <c r="A6" s="4" t="s">
        <v>89</v>
      </c>
      <c r="B6" s="26" t="n">
        <f aca="false">Assumptions!$D$5</f>
        <v>4999</v>
      </c>
      <c r="C6" s="25" t="n">
        <f aca="false">IF(B6&lt;=Assumptions!$C$18,Assumptions!$C$16,Assumptions!$C$17)</f>
        <v>0.18</v>
      </c>
      <c r="D6" s="27" t="n">
        <f aca="false">B6/(1+C6)</f>
        <v>4236.4406779661</v>
      </c>
      <c r="E6" s="27" t="n">
        <f aca="false">Assumptions!$D$6*Assumptions!$D$7</f>
        <v>1750</v>
      </c>
      <c r="F6" s="27" t="n">
        <f aca="false">(E6+H6)*Assumptions!$D$12</f>
        <v>149.6</v>
      </c>
      <c r="G6" s="26" t="n">
        <f aca="false">Assumptions!$D$8</f>
        <v>500</v>
      </c>
      <c r="H6" s="26" t="n">
        <f aca="false">Assumptions!$D$9</f>
        <v>120</v>
      </c>
      <c r="I6" s="26" t="n">
        <f aca="false">Assumptions!$D$10</f>
        <v>150</v>
      </c>
      <c r="J6" s="26" t="n">
        <f aca="false">Assumptions!$D$11</f>
        <v>30</v>
      </c>
      <c r="K6" s="27" t="n">
        <f aca="false">SUM(E6:J6)</f>
        <v>2699.6</v>
      </c>
      <c r="L6" s="27" t="n">
        <f aca="false">D6-K6</f>
        <v>1536.8406779661</v>
      </c>
      <c r="M6" s="25" t="n">
        <f aca="false">IF(D6=0,0,L6/D6)</f>
        <v>0.362766953390678</v>
      </c>
      <c r="N6" s="27" t="str">
        <f aca="false">IF(M6&gt;=0.5,"yes","NO")</f>
        <v>NO</v>
      </c>
      <c r="O6" s="28" t="n">
        <f aca="false">Assumptions!$D$13</f>
        <v>0.4</v>
      </c>
    </row>
    <row r="7" customFormat="false" ht="15" hidden="false" customHeight="true" outlineLevel="0" collapsed="false">
      <c r="A7" s="4" t="s">
        <v>90</v>
      </c>
      <c r="B7" s="26" t="n">
        <f aca="false">Assumptions!$E$5</f>
        <v>8999</v>
      </c>
      <c r="C7" s="25" t="n">
        <f aca="false">IF(B7&lt;=Assumptions!$C$18,Assumptions!$C$16,Assumptions!$C$17)</f>
        <v>0.18</v>
      </c>
      <c r="D7" s="27" t="n">
        <f aca="false">B7/(1+C7)</f>
        <v>7626.27118644068</v>
      </c>
      <c r="E7" s="27" t="n">
        <f aca="false">Assumptions!$E$6*Assumptions!$E$7</f>
        <v>3375</v>
      </c>
      <c r="F7" s="27" t="n">
        <f aca="false">(E7+H7)*Assumptions!$E$12</f>
        <v>362.5</v>
      </c>
      <c r="G7" s="26" t="n">
        <f aca="false">Assumptions!$E$8</f>
        <v>1200</v>
      </c>
      <c r="H7" s="26" t="n">
        <f aca="false">Assumptions!$E$9</f>
        <v>250</v>
      </c>
      <c r="I7" s="26" t="n">
        <f aca="false">Assumptions!$E$10</f>
        <v>300</v>
      </c>
      <c r="J7" s="26" t="n">
        <f aca="false">Assumptions!$E$11</f>
        <v>40</v>
      </c>
      <c r="K7" s="27" t="n">
        <f aca="false">SUM(E7:J7)</f>
        <v>5527.5</v>
      </c>
      <c r="L7" s="27" t="n">
        <f aca="false">D7-K7</f>
        <v>2098.77118644068</v>
      </c>
      <c r="M7" s="25" t="n">
        <f aca="false">IF(D7=0,0,L7/D7)</f>
        <v>0.275202800311146</v>
      </c>
      <c r="N7" s="27" t="str">
        <f aca="false">IF(M7&gt;=0.5,"yes","NO")</f>
        <v>NO</v>
      </c>
      <c r="O7" s="28" t="n">
        <f aca="false">Assumptions!$E$13</f>
        <v>0.15</v>
      </c>
    </row>
    <row r="8" customFormat="false" ht="15" hidden="false" customHeight="true" outlineLevel="0" collapsed="false">
      <c r="A8" s="4" t="s">
        <v>227</v>
      </c>
      <c r="D8" s="11" t="n">
        <f aca="false">SUMPRODUCT(D5:D7,$O$5:$O$7)</f>
        <v>3909.51694915254</v>
      </c>
      <c r="K8" s="11" t="n">
        <f aca="false">SUMPRODUCT(K5:K7,$O$5:$O$7)</f>
        <v>2587.025</v>
      </c>
      <c r="L8" s="11" t="n">
        <f aca="false">SUMPRODUCT(L5:L7,$O$5:$O$7)</f>
        <v>1322.49194915254</v>
      </c>
      <c r="M8" s="29" t="n">
        <f aca="false">IF(D8=0,0,L8/D8)</f>
        <v>0.338275026391487</v>
      </c>
    </row>
    <row r="10" customFormat="false" ht="15" hidden="false" customHeight="true" outlineLevel="0" collapsed="false">
      <c r="A10" s="30" t="s">
        <v>228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 customFormat="false" ht="15" hidden="false" customHeight="true" outlineLevel="0" collapsed="false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</row>
  </sheetData>
  <mergeCells count="1">
    <mergeCell ref="A10:O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3" min="2" style="1" width="13"/>
  </cols>
  <sheetData>
    <row r="1" customFormat="false" ht="15.75" hidden="false" customHeight="true" outlineLevel="0" collapsed="false">
      <c r="A1" s="2" t="s">
        <v>229</v>
      </c>
    </row>
    <row r="2" customFormat="false" ht="15" hidden="false" customHeight="true" outlineLevel="0" collapsed="false">
      <c r="A2" s="5" t="s">
        <v>230</v>
      </c>
    </row>
    <row r="4" customFormat="false" ht="30" hidden="false" customHeight="true" outlineLevel="0" collapsed="false">
      <c r="A4" s="31" t="s">
        <v>231</v>
      </c>
      <c r="B4" s="32" t="s">
        <v>232</v>
      </c>
      <c r="C4" s="32" t="s">
        <v>233</v>
      </c>
      <c r="D4" s="32" t="s">
        <v>234</v>
      </c>
      <c r="E4" s="32" t="s">
        <v>235</v>
      </c>
      <c r="F4" s="32" t="s">
        <v>236</v>
      </c>
      <c r="G4" s="32" t="s">
        <v>237</v>
      </c>
      <c r="H4" s="32" t="s">
        <v>238</v>
      </c>
      <c r="I4" s="32" t="s">
        <v>239</v>
      </c>
      <c r="J4" s="32" t="s">
        <v>240</v>
      </c>
      <c r="K4" s="32" t="s">
        <v>241</v>
      </c>
      <c r="L4" s="32" t="s">
        <v>242</v>
      </c>
      <c r="M4" s="32" t="s">
        <v>243</v>
      </c>
    </row>
    <row r="5" customFormat="false" ht="15" hidden="false" customHeight="true" outlineLevel="0" collapsed="false">
      <c r="A5" s="8" t="s">
        <v>244</v>
      </c>
      <c r="B5" s="27" t="n">
        <f aca="false">Range_Cost!$D$5</f>
        <v>2380</v>
      </c>
      <c r="C5" s="27" t="n">
        <f aca="false">Range_Cost!$D$5</f>
        <v>2380</v>
      </c>
      <c r="D5" s="27" t="n">
        <f aca="false">Range_Cost!$D$5</f>
        <v>2380</v>
      </c>
      <c r="E5" s="27" t="n">
        <f aca="false">Range_Cost!$D$5</f>
        <v>2380</v>
      </c>
      <c r="F5" s="27" t="n">
        <f aca="false">Range_Cost!$D$6</f>
        <v>4236.4406779661</v>
      </c>
      <c r="G5" s="27" t="n">
        <f aca="false">Range_Cost!$D$6</f>
        <v>4236.4406779661</v>
      </c>
      <c r="H5" s="27" t="n">
        <f aca="false">Range_Cost!$D$6</f>
        <v>4236.4406779661</v>
      </c>
      <c r="I5" s="27" t="n">
        <f aca="false">Range_Cost!$D$6</f>
        <v>4236.4406779661</v>
      </c>
      <c r="J5" s="27" t="n">
        <f aca="false">Range_Cost!$D$7</f>
        <v>7626.27118644068</v>
      </c>
      <c r="K5" s="27" t="n">
        <f aca="false">Range_Cost!$D$7</f>
        <v>7626.27118644068</v>
      </c>
      <c r="L5" s="27" t="n">
        <f aca="false">Range_Cost!$D$7</f>
        <v>7626.27118644068</v>
      </c>
      <c r="M5" s="27" t="n">
        <f aca="false">Range_Cost!$D$7</f>
        <v>7626.27118644068</v>
      </c>
    </row>
    <row r="6" customFormat="false" ht="15" hidden="false" customHeight="true" outlineLevel="0" collapsed="false">
      <c r="A6" s="8" t="s">
        <v>245</v>
      </c>
      <c r="B6" s="27" t="n">
        <f aca="false">-B5*Assumptions!$C$23</f>
        <v>-0</v>
      </c>
      <c r="C6" s="27" t="n">
        <f aca="false">-C5*Assumptions!$D$23</f>
        <v>-0</v>
      </c>
      <c r="D6" s="27" t="n">
        <f aca="false">-D5*Assumptions!$E$23</f>
        <v>-0</v>
      </c>
      <c r="E6" s="27" t="n">
        <f aca="false">-E5*Assumptions!$F$23</f>
        <v>-357</v>
      </c>
      <c r="F6" s="27" t="n">
        <f aca="false">-F5*Assumptions!$C$23</f>
        <v>-0</v>
      </c>
      <c r="G6" s="27" t="n">
        <f aca="false">-G5*Assumptions!$D$23</f>
        <v>-0</v>
      </c>
      <c r="H6" s="27" t="n">
        <f aca="false">-H5*Assumptions!$E$23</f>
        <v>-0</v>
      </c>
      <c r="I6" s="27" t="n">
        <f aca="false">-I5*Assumptions!$F$23</f>
        <v>-635.466101694915</v>
      </c>
      <c r="J6" s="27" t="n">
        <f aca="false">-J5*Assumptions!$C$23</f>
        <v>-0</v>
      </c>
      <c r="K6" s="27" t="n">
        <f aca="false">-K5*Assumptions!$D$23</f>
        <v>-0</v>
      </c>
      <c r="L6" s="27" t="n">
        <f aca="false">-L5*Assumptions!$E$23</f>
        <v>-0</v>
      </c>
      <c r="M6" s="27" t="n">
        <f aca="false">-M5*Assumptions!$F$23</f>
        <v>-1143.9406779661</v>
      </c>
    </row>
    <row r="7" customFormat="false" ht="15" hidden="false" customHeight="true" outlineLevel="0" collapsed="false">
      <c r="A7" s="4" t="s">
        <v>246</v>
      </c>
      <c r="B7" s="11" t="n">
        <f aca="false">B5+B6</f>
        <v>2380</v>
      </c>
      <c r="C7" s="11" t="n">
        <f aca="false">C5+C6</f>
        <v>2380</v>
      </c>
      <c r="D7" s="11" t="n">
        <f aca="false">D5+D6</f>
        <v>2380</v>
      </c>
      <c r="E7" s="11" t="n">
        <f aca="false">E5+E6</f>
        <v>2023</v>
      </c>
      <c r="F7" s="11" t="n">
        <f aca="false">F5+F6</f>
        <v>4236.4406779661</v>
      </c>
      <c r="G7" s="11" t="n">
        <f aca="false">G5+G6</f>
        <v>4236.4406779661</v>
      </c>
      <c r="H7" s="11" t="n">
        <f aca="false">H5+H6</f>
        <v>4236.4406779661</v>
      </c>
      <c r="I7" s="11" t="n">
        <f aca="false">I5+I6</f>
        <v>3600.97457627119</v>
      </c>
      <c r="J7" s="11" t="n">
        <f aca="false">J5+J6</f>
        <v>7626.27118644068</v>
      </c>
      <c r="K7" s="11" t="n">
        <f aca="false">K5+K6</f>
        <v>7626.27118644068</v>
      </c>
      <c r="L7" s="11" t="n">
        <f aca="false">L5+L6</f>
        <v>7626.27118644068</v>
      </c>
      <c r="M7" s="11" t="n">
        <f aca="false">M5+M6</f>
        <v>6482.33050847458</v>
      </c>
    </row>
    <row r="8" customFormat="false" ht="15" hidden="false" customHeight="true" outlineLevel="0" collapsed="false">
      <c r="A8" s="8" t="s">
        <v>247</v>
      </c>
      <c r="B8" s="27" t="n">
        <f aca="false">-Range_Cost!$K$5</f>
        <v>-1506.8</v>
      </c>
      <c r="C8" s="27" t="n">
        <f aca="false">-Range_Cost!$K$5</f>
        <v>-1506.8</v>
      </c>
      <c r="D8" s="27" t="n">
        <f aca="false">-Range_Cost!$K$5</f>
        <v>-1506.8</v>
      </c>
      <c r="E8" s="27" t="n">
        <f aca="false">-Range_Cost!$K$5</f>
        <v>-1506.8</v>
      </c>
      <c r="F8" s="27" t="n">
        <f aca="false">-Range_Cost!$K$6</f>
        <v>-2699.6</v>
      </c>
      <c r="G8" s="27" t="n">
        <f aca="false">-Range_Cost!$K$6</f>
        <v>-2699.6</v>
      </c>
      <c r="H8" s="27" t="n">
        <f aca="false">-Range_Cost!$K$6</f>
        <v>-2699.6</v>
      </c>
      <c r="I8" s="27" t="n">
        <f aca="false">-Range_Cost!$K$6</f>
        <v>-2699.6</v>
      </c>
      <c r="J8" s="27" t="n">
        <f aca="false">-Range_Cost!$K$7</f>
        <v>-5527.5</v>
      </c>
      <c r="K8" s="27" t="n">
        <f aca="false">-Range_Cost!$K$7</f>
        <v>-5527.5</v>
      </c>
      <c r="L8" s="27" t="n">
        <f aca="false">-Range_Cost!$K$7</f>
        <v>-5527.5</v>
      </c>
      <c r="M8" s="27" t="n">
        <f aca="false">-Range_Cost!$K$7</f>
        <v>-5527.5</v>
      </c>
    </row>
    <row r="9" customFormat="false" ht="15" hidden="false" customHeight="true" outlineLevel="0" collapsed="false">
      <c r="A9" s="4" t="s">
        <v>248</v>
      </c>
      <c r="B9" s="11" t="n">
        <f aca="false">B7+B8</f>
        <v>873.2</v>
      </c>
      <c r="C9" s="11" t="n">
        <f aca="false">C7+C8</f>
        <v>873.2</v>
      </c>
      <c r="D9" s="11" t="n">
        <f aca="false">D7+D8</f>
        <v>873.2</v>
      </c>
      <c r="E9" s="11" t="n">
        <f aca="false">E7+E8</f>
        <v>516.2</v>
      </c>
      <c r="F9" s="11" t="n">
        <f aca="false">F7+F8</f>
        <v>1536.8406779661</v>
      </c>
      <c r="G9" s="11" t="n">
        <f aca="false">G7+G8</f>
        <v>1536.8406779661</v>
      </c>
      <c r="H9" s="11" t="n">
        <f aca="false">H7+H8</f>
        <v>1536.8406779661</v>
      </c>
      <c r="I9" s="11" t="n">
        <f aca="false">I7+I8</f>
        <v>901.374576271187</v>
      </c>
      <c r="J9" s="11" t="n">
        <f aca="false">J7+J8</f>
        <v>2098.77118644068</v>
      </c>
      <c r="K9" s="11" t="n">
        <f aca="false">K7+K8</f>
        <v>2098.77118644068</v>
      </c>
      <c r="L9" s="11" t="n">
        <f aca="false">L7+L8</f>
        <v>2098.77118644068</v>
      </c>
      <c r="M9" s="11" t="n">
        <f aca="false">M7+M8</f>
        <v>954.830508474577</v>
      </c>
    </row>
    <row r="10" customFormat="false" ht="15" hidden="false" customHeight="true" outlineLevel="0" collapsed="false">
      <c r="A10" s="8" t="s">
        <v>249</v>
      </c>
      <c r="B10" s="27" t="n">
        <f aca="false">-B7*Assumptions!$C$24</f>
        <v>-0</v>
      </c>
      <c r="C10" s="27" t="n">
        <f aca="false">-C7*Assumptions!$D$24</f>
        <v>-654.5</v>
      </c>
      <c r="D10" s="27" t="n">
        <f aca="false">-D7*Assumptions!$E$24</f>
        <v>-0</v>
      </c>
      <c r="E10" s="27" t="n">
        <f aca="false">-E7*Assumptions!$F$24</f>
        <v>-0</v>
      </c>
      <c r="F10" s="27" t="n">
        <f aca="false">-F7*Assumptions!$C$24</f>
        <v>-0</v>
      </c>
      <c r="G10" s="27" t="n">
        <f aca="false">-G7*Assumptions!$D$24</f>
        <v>-1165.02118644068</v>
      </c>
      <c r="H10" s="27" t="n">
        <f aca="false">-H7*Assumptions!$E$24</f>
        <v>-0</v>
      </c>
      <c r="I10" s="27" t="n">
        <f aca="false">-I7*Assumptions!$F$24</f>
        <v>-0</v>
      </c>
      <c r="J10" s="27" t="n">
        <f aca="false">-J7*Assumptions!$C$24</f>
        <v>-0</v>
      </c>
      <c r="K10" s="27" t="n">
        <f aca="false">-K7*Assumptions!$D$24</f>
        <v>-2097.22457627119</v>
      </c>
      <c r="L10" s="27" t="n">
        <f aca="false">-L7*Assumptions!$E$24</f>
        <v>-0</v>
      </c>
      <c r="M10" s="27" t="n">
        <f aca="false">-M7*Assumptions!$F$24</f>
        <v>-0</v>
      </c>
    </row>
    <row r="11" customFormat="false" ht="15" hidden="false" customHeight="true" outlineLevel="0" collapsed="false">
      <c r="A11" s="8" t="s">
        <v>250</v>
      </c>
      <c r="B11" s="27" t="n">
        <f aca="false">-Assumptions!$C$25</f>
        <v>-0</v>
      </c>
      <c r="C11" s="27" t="n">
        <f aca="false">-Assumptions!$D$25</f>
        <v>-25</v>
      </c>
      <c r="D11" s="27" t="n">
        <f aca="false">-Assumptions!$E$25</f>
        <v>-0</v>
      </c>
      <c r="E11" s="27" t="n">
        <f aca="false">-Assumptions!$F$25</f>
        <v>-0</v>
      </c>
      <c r="F11" s="27" t="n">
        <f aca="false">-Assumptions!$C$25</f>
        <v>-0</v>
      </c>
      <c r="G11" s="27" t="n">
        <f aca="false">-Assumptions!$D$25</f>
        <v>-25</v>
      </c>
      <c r="H11" s="27" t="n">
        <f aca="false">-Assumptions!$E$25</f>
        <v>-0</v>
      </c>
      <c r="I11" s="27" t="n">
        <f aca="false">-Assumptions!$F$25</f>
        <v>-0</v>
      </c>
      <c r="J11" s="27" t="n">
        <f aca="false">-Assumptions!$C$25</f>
        <v>-0</v>
      </c>
      <c r="K11" s="27" t="n">
        <f aca="false">-Assumptions!$D$25</f>
        <v>-25</v>
      </c>
      <c r="L11" s="27" t="n">
        <f aca="false">-Assumptions!$E$25</f>
        <v>-0</v>
      </c>
      <c r="M11" s="27" t="n">
        <f aca="false">-Assumptions!$F$25</f>
        <v>-0</v>
      </c>
    </row>
    <row r="12" customFormat="false" ht="15" hidden="false" customHeight="true" outlineLevel="0" collapsed="false">
      <c r="A12" s="8" t="s">
        <v>251</v>
      </c>
      <c r="B12" s="27" t="n">
        <f aca="false">-B7*Assumptions!$C$26</f>
        <v>-56.168</v>
      </c>
      <c r="C12" s="27" t="n">
        <f aca="false">-C7*Assumptions!$D$26</f>
        <v>-0</v>
      </c>
      <c r="D12" s="27" t="n">
        <f aca="false">-D7*Assumptions!$E$26</f>
        <v>-56.168</v>
      </c>
      <c r="E12" s="27" t="n">
        <f aca="false">-E7*Assumptions!$F$26</f>
        <v>-0</v>
      </c>
      <c r="F12" s="27" t="n">
        <f aca="false">-F7*Assumptions!$C$26</f>
        <v>-99.98</v>
      </c>
      <c r="G12" s="27" t="n">
        <f aca="false">-G7*Assumptions!$D$26</f>
        <v>-0</v>
      </c>
      <c r="H12" s="27" t="n">
        <f aca="false">-H7*Assumptions!$E$26</f>
        <v>-99.98</v>
      </c>
      <c r="I12" s="27" t="n">
        <f aca="false">-I7*Assumptions!$F$26</f>
        <v>-0</v>
      </c>
      <c r="J12" s="27" t="n">
        <f aca="false">-J7*Assumptions!$C$26</f>
        <v>-179.98</v>
      </c>
      <c r="K12" s="27" t="n">
        <f aca="false">-K7*Assumptions!$D$26</f>
        <v>-0</v>
      </c>
      <c r="L12" s="27" t="n">
        <f aca="false">-L7*Assumptions!$E$26</f>
        <v>-179.98</v>
      </c>
      <c r="M12" s="27" t="n">
        <f aca="false">-M7*Assumptions!$F$26</f>
        <v>-0</v>
      </c>
    </row>
    <row r="13" customFormat="false" ht="15" hidden="false" customHeight="true" outlineLevel="0" collapsed="false">
      <c r="A13" s="8" t="s">
        <v>252</v>
      </c>
      <c r="B13" s="27" t="n">
        <f aca="false">-Assumptions!$C$27</f>
        <v>-60</v>
      </c>
      <c r="C13" s="27" t="n">
        <f aca="false">-Assumptions!$D$27</f>
        <v>-90</v>
      </c>
      <c r="D13" s="27" t="n">
        <f aca="false">-Assumptions!$E$27</f>
        <v>-0</v>
      </c>
      <c r="E13" s="27" t="n">
        <f aca="false">-Assumptions!$F$27</f>
        <v>-30</v>
      </c>
      <c r="F13" s="27" t="n">
        <f aca="false">-Assumptions!$C$27</f>
        <v>-60</v>
      </c>
      <c r="G13" s="27" t="n">
        <f aca="false">-Assumptions!$D$27</f>
        <v>-90</v>
      </c>
      <c r="H13" s="27" t="n">
        <f aca="false">-Assumptions!$E$27</f>
        <v>-0</v>
      </c>
      <c r="I13" s="27" t="n">
        <f aca="false">-Assumptions!$F$27</f>
        <v>-30</v>
      </c>
      <c r="J13" s="27" t="n">
        <f aca="false">-Assumptions!$C$27</f>
        <v>-60</v>
      </c>
      <c r="K13" s="27" t="n">
        <f aca="false">-Assumptions!$D$27</f>
        <v>-90</v>
      </c>
      <c r="L13" s="27" t="n">
        <f aca="false">-Assumptions!$E$27</f>
        <v>-0</v>
      </c>
      <c r="M13" s="27" t="n">
        <f aca="false">-Assumptions!$F$27</f>
        <v>-30</v>
      </c>
    </row>
    <row r="14" customFormat="false" ht="15" hidden="false" customHeight="true" outlineLevel="0" collapsed="false">
      <c r="A14" s="8" t="s">
        <v>253</v>
      </c>
      <c r="B14" s="27" t="n">
        <f aca="false">-Assumptions!$C$28*(Assumptions!$C$27+Assumptions!$C$29+B7*Assumptions!$C$30)</f>
        <v>-73.6</v>
      </c>
      <c r="C14" s="27" t="n">
        <f aca="false">-Assumptions!$D$28*(Assumptions!$D$27+Assumptions!$D$29+C7*Assumptions!$D$30)</f>
        <v>-104.5</v>
      </c>
      <c r="D14" s="27" t="n">
        <f aca="false">-Assumptions!$E$28*(Assumptions!$E$27+Assumptions!$E$29+D7*Assumptions!$E$30)</f>
        <v>-7.14</v>
      </c>
      <c r="E14" s="27" t="n">
        <f aca="false">-Assumptions!$F$28*(Assumptions!$F$27+Assumptions!$F$29+E7*Assumptions!$F$30)</f>
        <v>-4.646</v>
      </c>
      <c r="F14" s="27" t="n">
        <f aca="false">-Assumptions!$C$28*(Assumptions!$C$27+Assumptions!$C$29+F7*Assumptions!$C$30)</f>
        <v>-110.728813559322</v>
      </c>
      <c r="G14" s="27" t="n">
        <f aca="false">-Assumptions!$D$28*(Assumptions!$D$27+Assumptions!$D$29+G7*Assumptions!$D$30)</f>
        <v>-150.911016949153</v>
      </c>
      <c r="H14" s="27" t="n">
        <f aca="false">-Assumptions!$E$28*(Assumptions!$E$27+Assumptions!$E$29+H7*Assumptions!$E$30)</f>
        <v>-12.7093220338983</v>
      </c>
      <c r="I14" s="27" t="n">
        <f aca="false">-Assumptions!$F$28*(Assumptions!$F$27+Assumptions!$F$29+I7*Assumptions!$F$30)</f>
        <v>-7.80194915254238</v>
      </c>
      <c r="J14" s="27" t="n">
        <f aca="false">-Assumptions!$C$28*(Assumptions!$C$27+Assumptions!$C$29+J7*Assumptions!$C$30)</f>
        <v>-178.525423728814</v>
      </c>
      <c r="K14" s="27" t="n">
        <f aca="false">-Assumptions!$D$28*(Assumptions!$D$27+Assumptions!$D$29+K7*Assumptions!$D$30)</f>
        <v>-235.656779661017</v>
      </c>
      <c r="L14" s="27" t="n">
        <f aca="false">-Assumptions!$E$28*(Assumptions!$E$27+Assumptions!$E$29+L7*Assumptions!$E$30)</f>
        <v>-22.878813559322</v>
      </c>
      <c r="M14" s="27" t="n">
        <f aca="false">-Assumptions!$F$28*(Assumptions!$F$27+Assumptions!$F$29+M7*Assumptions!$F$30)</f>
        <v>-13.5646610169492</v>
      </c>
    </row>
    <row r="15" customFormat="false" ht="15" hidden="false" customHeight="true" outlineLevel="0" collapsed="false">
      <c r="A15" s="8" t="s">
        <v>254</v>
      </c>
      <c r="B15" s="27" t="n">
        <f aca="false">-Assumptions!$C$31*Assumptions!$C$32*(Assumptions!$C$27+Assumptions!$C$29)</f>
        <v>-16.64</v>
      </c>
      <c r="C15" s="27" t="n">
        <f aca="false">-Assumptions!$D$31*Assumptions!$D$32*(Assumptions!$D$27+Assumptions!$D$29)</f>
        <v>-0</v>
      </c>
      <c r="D15" s="27" t="n">
        <f aca="false">-Assumptions!$E$31*Assumptions!$E$32*(Assumptions!$E$27+Assumptions!$E$29)</f>
        <v>-0</v>
      </c>
      <c r="E15" s="27" t="n">
        <f aca="false">-Assumptions!$F$31*Assumptions!$F$32*(Assumptions!$F$27+Assumptions!$F$29)</f>
        <v>-0</v>
      </c>
      <c r="F15" s="27" t="n">
        <f aca="false">-Assumptions!$C$31*Assumptions!$C$32*(Assumptions!$C$27+Assumptions!$C$29)</f>
        <v>-16.64</v>
      </c>
      <c r="G15" s="27" t="n">
        <f aca="false">-Assumptions!$D$31*Assumptions!$D$32*(Assumptions!$D$27+Assumptions!$D$29)</f>
        <v>-0</v>
      </c>
      <c r="H15" s="27" t="n">
        <f aca="false">-Assumptions!$E$31*Assumptions!$E$32*(Assumptions!$E$27+Assumptions!$E$29)</f>
        <v>-0</v>
      </c>
      <c r="I15" s="27" t="n">
        <f aca="false">-Assumptions!$F$31*Assumptions!$F$32*(Assumptions!$F$27+Assumptions!$F$29)</f>
        <v>-0</v>
      </c>
      <c r="J15" s="27" t="n">
        <f aca="false">-Assumptions!$C$31*Assumptions!$C$32*(Assumptions!$C$27+Assumptions!$C$29)</f>
        <v>-16.64</v>
      </c>
      <c r="K15" s="27" t="n">
        <f aca="false">-Assumptions!$D$31*Assumptions!$D$32*(Assumptions!$D$27+Assumptions!$D$29)</f>
        <v>-0</v>
      </c>
      <c r="L15" s="27" t="n">
        <f aca="false">-Assumptions!$E$31*Assumptions!$E$32*(Assumptions!$E$27+Assumptions!$E$29)</f>
        <v>-0</v>
      </c>
      <c r="M15" s="27" t="n">
        <f aca="false">-Assumptions!$F$31*Assumptions!$F$32*(Assumptions!$F$27+Assumptions!$F$29)</f>
        <v>-0</v>
      </c>
    </row>
    <row r="16" customFormat="false" ht="15" hidden="false" customHeight="true" outlineLevel="0" collapsed="false">
      <c r="A16" s="8" t="s">
        <v>255</v>
      </c>
      <c r="B16" s="27" t="n">
        <f aca="false">-Assumptions!$C$33*Scenarios!$C$8</f>
        <v>-550</v>
      </c>
      <c r="C16" s="27" t="n">
        <f aca="false">-Assumptions!$D$33*Scenarios!$C$8</f>
        <v>-150</v>
      </c>
      <c r="D16" s="27" t="n">
        <f aca="false">-Assumptions!$E$33*Scenarios!$C$8</f>
        <v>-450</v>
      </c>
      <c r="E16" s="27" t="n">
        <f aca="false">-Assumptions!$F$33*Scenarios!$C$8</f>
        <v>-200</v>
      </c>
      <c r="F16" s="27" t="n">
        <f aca="false">-Assumptions!$C$33*Scenarios!$C$8</f>
        <v>-550</v>
      </c>
      <c r="G16" s="27" t="n">
        <f aca="false">-Assumptions!$D$33*Scenarios!$C$8</f>
        <v>-150</v>
      </c>
      <c r="H16" s="27" t="n">
        <f aca="false">-Assumptions!$E$33*Scenarios!$C$8</f>
        <v>-450</v>
      </c>
      <c r="I16" s="27" t="n">
        <f aca="false">-Assumptions!$F$33*Scenarios!$C$8</f>
        <v>-200</v>
      </c>
      <c r="J16" s="27" t="n">
        <f aca="false">-Assumptions!$C$33*Scenarios!$C$8</f>
        <v>-550</v>
      </c>
      <c r="K16" s="27" t="n">
        <f aca="false">-Assumptions!$D$33*Scenarios!$C$8</f>
        <v>-150</v>
      </c>
      <c r="L16" s="27" t="n">
        <f aca="false">-Assumptions!$E$33*Scenarios!$C$8</f>
        <v>-450</v>
      </c>
      <c r="M16" s="27" t="n">
        <f aca="false">-Assumptions!$F$33*Scenarios!$C$8</f>
        <v>-200</v>
      </c>
    </row>
    <row r="17" customFormat="false" ht="15" hidden="false" customHeight="true" outlineLevel="0" collapsed="false">
      <c r="A17" s="4" t="s">
        <v>256</v>
      </c>
      <c r="B17" s="33" t="n">
        <f aca="false">SUM(B9:B16)</f>
        <v>116.792</v>
      </c>
      <c r="C17" s="33" t="n">
        <f aca="false">SUM(C9:C16)</f>
        <v>-150.8</v>
      </c>
      <c r="D17" s="33" t="n">
        <f aca="false">SUM(D9:D16)</f>
        <v>359.892</v>
      </c>
      <c r="E17" s="33" t="n">
        <f aca="false">SUM(E9:E16)</f>
        <v>281.554</v>
      </c>
      <c r="F17" s="33" t="n">
        <f aca="false">SUM(F9:F16)</f>
        <v>699.49186440678</v>
      </c>
      <c r="G17" s="33" t="n">
        <f aca="false">SUM(G9:G16)</f>
        <v>-44.0915254237284</v>
      </c>
      <c r="H17" s="33" t="n">
        <f aca="false">SUM(H9:H16)</f>
        <v>974.151355932204</v>
      </c>
      <c r="I17" s="33" t="n">
        <f aca="false">SUM(I9:I16)</f>
        <v>663.572627118645</v>
      </c>
      <c r="J17" s="33" t="n">
        <f aca="false">SUM(J9:J16)</f>
        <v>1113.62576271186</v>
      </c>
      <c r="K17" s="33" t="n">
        <f aca="false">SUM(K9:K16)</f>
        <v>-499.110169491526</v>
      </c>
      <c r="L17" s="33" t="n">
        <f aca="false">SUM(L9:L16)</f>
        <v>1445.91237288136</v>
      </c>
      <c r="M17" s="33" t="n">
        <f aca="false">SUM(M9:M16)</f>
        <v>711.265847457628</v>
      </c>
    </row>
    <row r="18" customFormat="false" ht="15" hidden="false" customHeight="true" outlineLevel="0" collapsed="false">
      <c r="A18" s="8" t="s">
        <v>257</v>
      </c>
      <c r="B18" s="25" t="n">
        <f aca="false">IF(B7=0,0,B17/B7)</f>
        <v>0.049072268907563</v>
      </c>
      <c r="C18" s="25" t="n">
        <f aca="false">IF(C7=0,0,C17/C7)</f>
        <v>-0.0633613445378151</v>
      </c>
      <c r="D18" s="25" t="n">
        <f aca="false">IF(D7=0,0,D17/D7)</f>
        <v>0.15121512605042</v>
      </c>
      <c r="E18" s="25" t="n">
        <f aca="false">IF(E7=0,0,E17/E7)</f>
        <v>0.139176470588235</v>
      </c>
      <c r="F18" s="25" t="n">
        <f aca="false">IF(F7=0,0,F17/F7)</f>
        <v>0.165113102620524</v>
      </c>
      <c r="G18" s="25" t="n">
        <f aca="false">IF(G7=0,0,G17/G7)</f>
        <v>-0.0104076815363072</v>
      </c>
      <c r="H18" s="25" t="n">
        <f aca="false">IF(H7=0,0,H17/H7)</f>
        <v>0.229945709141828</v>
      </c>
      <c r="I18" s="25" t="n">
        <f aca="false">IF(I7=0,0,I17/I7)</f>
        <v>0.184275843403975</v>
      </c>
      <c r="J18" s="25" t="n">
        <f aca="false">IF(J7=0,0,J17/J7)</f>
        <v>0.146024936104012</v>
      </c>
      <c r="K18" s="25" t="n">
        <f aca="false">IF(K7=0,0,K17/K7)</f>
        <v>-0.0654461606845205</v>
      </c>
      <c r="L18" s="25" t="n">
        <f aca="false">IF(L7=0,0,L17/L7)</f>
        <v>0.189596244027114</v>
      </c>
      <c r="M18" s="25" t="n">
        <f aca="false">IF(M7=0,0,M17/M7)</f>
        <v>0.109723786303053</v>
      </c>
    </row>
    <row r="19" customFormat="false" ht="15" hidden="false" customHeight="true" outlineLevel="0" collapsed="false">
      <c r="A19" s="8" t="s">
        <v>258</v>
      </c>
      <c r="B19" s="25" t="n">
        <f aca="false">Range_Cost!$O$5*Assumptions!$C$22</f>
        <v>0.1575</v>
      </c>
      <c r="C19" s="25" t="n">
        <f aca="false">Range_Cost!$O$5*Assumptions!$D$22</f>
        <v>0.135</v>
      </c>
      <c r="D19" s="25" t="n">
        <f aca="false">Range_Cost!$O$5*Assumptions!$E$22</f>
        <v>0.09</v>
      </c>
      <c r="E19" s="25" t="n">
        <f aca="false">Range_Cost!$O$5*Assumptions!$F$22</f>
        <v>0.0675</v>
      </c>
      <c r="F19" s="25" t="n">
        <f aca="false">Range_Cost!$O$6*Assumptions!$C$22</f>
        <v>0.14</v>
      </c>
      <c r="G19" s="25" t="n">
        <f aca="false">Range_Cost!$O$6*Assumptions!$D$22</f>
        <v>0.12</v>
      </c>
      <c r="H19" s="25" t="n">
        <f aca="false">Range_Cost!$O$6*Assumptions!$E$22</f>
        <v>0.08</v>
      </c>
      <c r="I19" s="25" t="n">
        <f aca="false">Range_Cost!$O$6*Assumptions!$F$22</f>
        <v>0.06</v>
      </c>
      <c r="J19" s="25" t="n">
        <f aca="false">Range_Cost!$O$7*Assumptions!$C$22</f>
        <v>0.0525</v>
      </c>
      <c r="K19" s="25" t="n">
        <f aca="false">Range_Cost!$O$7*Assumptions!$D$22</f>
        <v>0.045</v>
      </c>
      <c r="L19" s="25" t="n">
        <f aca="false">Range_Cost!$O$7*Assumptions!$E$22</f>
        <v>0.03</v>
      </c>
      <c r="M19" s="25" t="n">
        <f aca="false">Range_Cost!$O$7*Assumptions!$F$22</f>
        <v>0.0225</v>
      </c>
    </row>
    <row r="21" customFormat="false" ht="15" hidden="false" customHeight="false" outlineLevel="0" collapsed="false">
      <c r="A21" s="34" t="s">
        <v>259</v>
      </c>
    </row>
    <row r="22" customFormat="false" ht="15" hidden="false" customHeight="false" outlineLevel="0" collapsed="false">
      <c r="A22" s="35" t="s">
        <v>246</v>
      </c>
      <c r="B22" s="36" t="n">
        <f aca="false">SUMPRODUCT(B7:M7,B19:M19)</f>
        <v>3821.55281779661</v>
      </c>
    </row>
    <row r="23" customFormat="false" ht="15" hidden="false" customHeight="false" outlineLevel="0" collapsed="false">
      <c r="A23" s="35" t="s">
        <v>247</v>
      </c>
      <c r="B23" s="36" t="n">
        <f aca="false">SUMPRODUCT(B8:M8,B19:M19)</f>
        <v>-2587.025</v>
      </c>
    </row>
    <row r="24" customFormat="false" ht="15" hidden="false" customHeight="false" outlineLevel="0" collapsed="false">
      <c r="A24" s="35" t="s">
        <v>260</v>
      </c>
      <c r="B24" s="36" t="n">
        <f aca="false">SUMPRODUCT(B10:M10,B19:M19)+SUMPRODUCT(B11:M11,B19:M19)+SUMPRODUCT(B12:M12,B19:M19)+SUMPRODUCT(B13:M13,B19:M19)+SUMPRODUCT(B14:M14,B19:M19)+SUMPRODUCT(B15:M15,B19:M19)+SUMPRODUCT(B16:M16,B19:M19)</f>
        <v>-879.325311059322</v>
      </c>
    </row>
    <row r="25" customFormat="false" ht="15" hidden="false" customHeight="false" outlineLevel="0" collapsed="false">
      <c r="A25" s="34" t="s">
        <v>261</v>
      </c>
      <c r="B25" s="36" t="n">
        <f aca="false">B22+B23+B24</f>
        <v>355.202506737288</v>
      </c>
    </row>
    <row r="26" customFormat="false" ht="15" hidden="false" customHeight="false" outlineLevel="0" collapsed="false">
      <c r="A26" s="35" t="s">
        <v>262</v>
      </c>
      <c r="B26" s="37" t="n">
        <f aca="false">IF(B22=0,0,B25/B22)</f>
        <v>0.0929471666813406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</cols>
  <sheetData>
    <row r="1" customFormat="false" ht="15.75" hidden="false" customHeight="true" outlineLevel="0" collapsed="false">
      <c r="A1" s="2" t="s">
        <v>263</v>
      </c>
    </row>
    <row r="2" customFormat="false" ht="15" hidden="false" customHeight="true" outlineLevel="0" collapsed="false">
      <c r="A2" s="5" t="s">
        <v>264</v>
      </c>
    </row>
    <row r="3" customFormat="false" ht="15" hidden="false" customHeight="true" outlineLevel="0" collapsed="false">
      <c r="Z3" s="38" t="s">
        <v>265</v>
      </c>
    </row>
    <row r="4" customFormat="false" ht="15" hidden="false" customHeight="true" outlineLevel="0" collapsed="false">
      <c r="A4" s="8" t="s">
        <v>192</v>
      </c>
      <c r="B4" s="39" t="n">
        <v>46569</v>
      </c>
      <c r="C4" s="39" t="n">
        <v>46600</v>
      </c>
      <c r="D4" s="39" t="n">
        <v>46631</v>
      </c>
      <c r="E4" s="39" t="n">
        <v>46661</v>
      </c>
      <c r="F4" s="39" t="n">
        <v>46692</v>
      </c>
      <c r="G4" s="39" t="n">
        <v>46722</v>
      </c>
      <c r="H4" s="39" t="n">
        <v>46753</v>
      </c>
      <c r="I4" s="39" t="n">
        <v>46784</v>
      </c>
      <c r="J4" s="39" t="n">
        <v>46813</v>
      </c>
      <c r="K4" s="39" t="n">
        <v>46844</v>
      </c>
      <c r="L4" s="39" t="n">
        <v>46874</v>
      </c>
      <c r="M4" s="39" t="n">
        <v>46905</v>
      </c>
      <c r="N4" s="39" t="n">
        <v>46935</v>
      </c>
      <c r="O4" s="39" t="n">
        <v>46966</v>
      </c>
      <c r="P4" s="39" t="n">
        <v>46997</v>
      </c>
      <c r="Q4" s="39" t="n">
        <v>47027</v>
      </c>
      <c r="R4" s="39" t="n">
        <v>47058</v>
      </c>
      <c r="S4" s="39" t="n">
        <v>47088</v>
      </c>
      <c r="T4" s="39" t="n">
        <v>47119</v>
      </c>
      <c r="U4" s="39" t="n">
        <v>47150</v>
      </c>
      <c r="V4" s="39" t="n">
        <v>47178</v>
      </c>
      <c r="W4" s="39" t="n">
        <v>47209</v>
      </c>
      <c r="X4" s="39" t="n">
        <v>47239</v>
      </c>
      <c r="Y4" s="39" t="n">
        <v>47270</v>
      </c>
      <c r="Z4" s="40" t="n">
        <v>47300</v>
      </c>
    </row>
    <row r="5" customFormat="false" ht="15" hidden="false" customHeight="true" outlineLevel="0" collapsed="false">
      <c r="A5" s="8" t="s">
        <v>266</v>
      </c>
      <c r="B5" s="1" t="n">
        <v>7</v>
      </c>
      <c r="C5" s="1" t="n">
        <v>8</v>
      </c>
      <c r="D5" s="1" t="n">
        <v>9</v>
      </c>
      <c r="E5" s="1" t="n">
        <v>10</v>
      </c>
      <c r="F5" s="1" t="n">
        <v>11</v>
      </c>
      <c r="G5" s="1" t="n">
        <v>12</v>
      </c>
      <c r="H5" s="1" t="n">
        <v>1</v>
      </c>
      <c r="I5" s="1" t="n">
        <v>2</v>
      </c>
      <c r="J5" s="1" t="n">
        <v>3</v>
      </c>
      <c r="K5" s="1" t="n">
        <v>4</v>
      </c>
      <c r="L5" s="1" t="n">
        <v>5</v>
      </c>
      <c r="M5" s="1" t="n">
        <v>6</v>
      </c>
      <c r="N5" s="1" t="n">
        <v>7</v>
      </c>
      <c r="O5" s="1" t="n">
        <v>8</v>
      </c>
      <c r="P5" s="1" t="n">
        <v>9</v>
      </c>
      <c r="Q5" s="1" t="n">
        <v>10</v>
      </c>
      <c r="R5" s="1" t="n">
        <v>11</v>
      </c>
      <c r="S5" s="1" t="n">
        <v>12</v>
      </c>
      <c r="T5" s="1" t="n">
        <v>1</v>
      </c>
      <c r="U5" s="1" t="n">
        <v>2</v>
      </c>
      <c r="V5" s="1" t="n">
        <v>3</v>
      </c>
      <c r="W5" s="1" t="n">
        <v>4</v>
      </c>
      <c r="X5" s="1" t="n">
        <v>5</v>
      </c>
      <c r="Y5" s="1" t="n">
        <v>6</v>
      </c>
      <c r="Z5" s="41" t="n">
        <v>7</v>
      </c>
    </row>
    <row r="6" customFormat="false" ht="15" hidden="false" customHeight="true" outlineLevel="0" collapsed="false">
      <c r="A6" s="8" t="s">
        <v>267</v>
      </c>
      <c r="B6" s="1" t="n">
        <v>1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2</v>
      </c>
      <c r="O6" s="1" t="n">
        <v>2</v>
      </c>
      <c r="P6" s="1" t="n">
        <v>2</v>
      </c>
      <c r="Q6" s="1" t="n">
        <v>2</v>
      </c>
      <c r="R6" s="1" t="n">
        <v>2</v>
      </c>
      <c r="S6" s="1" t="n">
        <v>2</v>
      </c>
      <c r="T6" s="1" t="n">
        <v>2</v>
      </c>
      <c r="U6" s="1" t="n">
        <v>2</v>
      </c>
      <c r="V6" s="1" t="n">
        <v>2</v>
      </c>
      <c r="W6" s="1" t="n">
        <v>2</v>
      </c>
      <c r="X6" s="1" t="n">
        <v>2</v>
      </c>
      <c r="Y6" s="1" t="n">
        <v>2</v>
      </c>
      <c r="Z6" s="41" t="n">
        <v>2</v>
      </c>
    </row>
    <row r="7" customFormat="false" ht="15" hidden="false" customHeight="true" outlineLevel="0" collapsed="false">
      <c r="A7" s="8" t="s">
        <v>268</v>
      </c>
      <c r="B7" s="42" t="n">
        <f aca="false">INDEX(Assumptions!$E$46:$E$57,B5)</f>
        <v>0.0391503540191587</v>
      </c>
      <c r="C7" s="42" t="n">
        <f aca="false">INDEX(Assumptions!$E$46:$E$57,C5)</f>
        <v>0.0541441066222407</v>
      </c>
      <c r="D7" s="42" t="n">
        <f aca="false">INDEX(Assumptions!$E$46:$E$57,D5)</f>
        <v>0.0708038317367764</v>
      </c>
      <c r="E7" s="42" t="n">
        <f aca="false">INDEX(Assumptions!$E$46:$E$57,E5)</f>
        <v>0.121199500208247</v>
      </c>
      <c r="F7" s="42" t="n">
        <f aca="false">INDEX(Assumptions!$E$46:$E$57,F5)</f>
        <v>0.134943773427738</v>
      </c>
      <c r="G7" s="42" t="n">
        <f aca="false">INDEX(Assumptions!$E$46:$E$57,G5)</f>
        <v>0.085381091211995</v>
      </c>
      <c r="H7" s="42" t="n">
        <f aca="false">INDEX(Assumptions!$E$46:$E$57,H5)</f>
        <v>0.0887130362349021</v>
      </c>
      <c r="I7" s="42" t="n">
        <f aca="false">INDEX(Assumptions!$E$46:$E$57,I5)</f>
        <v>0.0932944606413994</v>
      </c>
      <c r="J7" s="42" t="n">
        <f aca="false">INDEX(Assumptions!$E$46:$E$57,J5)</f>
        <v>0.0912119950020825</v>
      </c>
      <c r="K7" s="42" t="n">
        <f aca="false">INDEX(Assumptions!$E$46:$E$57,K5)</f>
        <v>0.112036651395252</v>
      </c>
      <c r="L7" s="42" t="n">
        <f aca="false">INDEX(Assumptions!$E$46:$E$57,L5)</f>
        <v>0.0641399416909621</v>
      </c>
      <c r="M7" s="42" t="n">
        <f aca="false">INDEX(Assumptions!$E$46:$E$57,M5)</f>
        <v>0.0449812578092461</v>
      </c>
      <c r="N7" s="42" t="n">
        <f aca="false">INDEX(Assumptions!$E$46:$E$57,N5)</f>
        <v>0.0391503540191587</v>
      </c>
      <c r="O7" s="42" t="n">
        <f aca="false">INDEX(Assumptions!$E$46:$E$57,O5)</f>
        <v>0.0541441066222407</v>
      </c>
      <c r="P7" s="42" t="n">
        <f aca="false">INDEX(Assumptions!$E$46:$E$57,P5)</f>
        <v>0.0708038317367764</v>
      </c>
      <c r="Q7" s="42" t="n">
        <f aca="false">INDEX(Assumptions!$E$46:$E$57,Q5)</f>
        <v>0.121199500208247</v>
      </c>
      <c r="R7" s="42" t="n">
        <f aca="false">INDEX(Assumptions!$E$46:$E$57,R5)</f>
        <v>0.134943773427738</v>
      </c>
      <c r="S7" s="42" t="n">
        <f aca="false">INDEX(Assumptions!$E$46:$E$57,S5)</f>
        <v>0.085381091211995</v>
      </c>
      <c r="T7" s="42" t="n">
        <f aca="false">INDEX(Assumptions!$E$46:$E$57,T5)</f>
        <v>0.0887130362349021</v>
      </c>
      <c r="U7" s="42" t="n">
        <f aca="false">INDEX(Assumptions!$E$46:$E$57,U5)</f>
        <v>0.0932944606413994</v>
      </c>
      <c r="V7" s="42" t="n">
        <f aca="false">INDEX(Assumptions!$E$46:$E$57,V5)</f>
        <v>0.0912119950020825</v>
      </c>
      <c r="W7" s="42" t="n">
        <f aca="false">INDEX(Assumptions!$E$46:$E$57,W5)</f>
        <v>0.112036651395252</v>
      </c>
      <c r="X7" s="42" t="n">
        <f aca="false">INDEX(Assumptions!$E$46:$E$57,X5)</f>
        <v>0.0641399416909621</v>
      </c>
      <c r="Y7" s="42" t="n">
        <f aca="false">INDEX(Assumptions!$E$46:$E$57,Y5)</f>
        <v>0.0449812578092461</v>
      </c>
      <c r="Z7" s="43" t="n">
        <f aca="false">INDEX(Assumptions!$E$46:$E$57,Z5)</f>
        <v>0.0391503540191587</v>
      </c>
    </row>
    <row r="8" customFormat="false" ht="15" hidden="false" customHeight="true" outlineLevel="0" collapsed="false">
      <c r="A8" s="8" t="s">
        <v>269</v>
      </c>
      <c r="B8" s="27" t="n">
        <f aca="false">IF(B6=1,Assumptions!$C$39,Assumptions!$C$40)*B7*Scenarios!$C$6</f>
        <v>70.4706372344856</v>
      </c>
      <c r="C8" s="27" t="n">
        <f aca="false">IF(C6=1,Assumptions!$C$39,Assumptions!$C$40)*C7*Scenarios!$C$6</f>
        <v>97.4593919200333</v>
      </c>
      <c r="D8" s="27" t="n">
        <f aca="false">IF(D6=1,Assumptions!$C$39,Assumptions!$C$40)*D7*Scenarios!$C$6</f>
        <v>127.446897126197</v>
      </c>
      <c r="E8" s="27" t="n">
        <f aca="false">IF(E6=1,Assumptions!$C$39,Assumptions!$C$40)*E7*Scenarios!$C$6</f>
        <v>218.159100374844</v>
      </c>
      <c r="F8" s="27" t="n">
        <f aca="false">IF(F6=1,Assumptions!$C$39,Assumptions!$C$40)*F7*Scenarios!$C$6</f>
        <v>242.898792169929</v>
      </c>
      <c r="G8" s="27" t="n">
        <f aca="false">IF(G6=1,Assumptions!$C$39,Assumptions!$C$40)*G7*Scenarios!$C$6</f>
        <v>153.685964181591</v>
      </c>
      <c r="H8" s="27" t="n">
        <f aca="false">IF(H6=1,Assumptions!$C$39,Assumptions!$C$40)*H7*Scenarios!$C$6</f>
        <v>159.683465222824</v>
      </c>
      <c r="I8" s="27" t="n">
        <f aca="false">IF(I6=1,Assumptions!$C$39,Assumptions!$C$40)*I7*Scenarios!$C$6</f>
        <v>167.930029154519</v>
      </c>
      <c r="J8" s="27" t="n">
        <f aca="false">IF(J6=1,Assumptions!$C$39,Assumptions!$C$40)*J7*Scenarios!$C$6</f>
        <v>164.181591003748</v>
      </c>
      <c r="K8" s="27" t="n">
        <f aca="false">IF(K6=1,Assumptions!$C$39,Assumptions!$C$40)*K7*Scenarios!$C$6</f>
        <v>201.665972511454</v>
      </c>
      <c r="L8" s="27" t="n">
        <f aca="false">IF(L6=1,Assumptions!$C$39,Assumptions!$C$40)*L7*Scenarios!$C$6</f>
        <v>115.451895043732</v>
      </c>
      <c r="M8" s="27" t="n">
        <f aca="false">IF(M6=1,Assumptions!$C$39,Assumptions!$C$40)*M7*Scenarios!$C$6</f>
        <v>80.9662640566431</v>
      </c>
      <c r="N8" s="27" t="n">
        <f aca="false">IF(N6=1,Assumptions!$C$39,Assumptions!$C$40)*N7*Scenarios!$C$6</f>
        <v>117.451062057476</v>
      </c>
      <c r="O8" s="27" t="n">
        <f aca="false">IF(O6=1,Assumptions!$C$39,Assumptions!$C$40)*O7*Scenarios!$C$6</f>
        <v>162.432319866722</v>
      </c>
      <c r="P8" s="27" t="n">
        <f aca="false">IF(P6=1,Assumptions!$C$39,Assumptions!$C$40)*P7*Scenarios!$C$6</f>
        <v>212.411495210329</v>
      </c>
      <c r="Q8" s="27" t="n">
        <f aca="false">IF(Q6=1,Assumptions!$C$39,Assumptions!$C$40)*Q7*Scenarios!$C$6</f>
        <v>363.59850062474</v>
      </c>
      <c r="R8" s="27" t="n">
        <f aca="false">IF(R6=1,Assumptions!$C$39,Assumptions!$C$40)*R7*Scenarios!$C$6</f>
        <v>404.831320283215</v>
      </c>
      <c r="S8" s="27" t="n">
        <f aca="false">IF(S6=1,Assumptions!$C$39,Assumptions!$C$40)*S7*Scenarios!$C$6</f>
        <v>256.143273635985</v>
      </c>
      <c r="T8" s="27" t="n">
        <f aca="false">IF(T6=1,Assumptions!$C$39,Assumptions!$C$40)*T7*Scenarios!$C$6</f>
        <v>266.139108704706</v>
      </c>
      <c r="U8" s="27" t="n">
        <f aca="false">IF(U6=1,Assumptions!$C$39,Assumptions!$C$40)*U7*Scenarios!$C$6</f>
        <v>279.883381924198</v>
      </c>
      <c r="V8" s="27" t="n">
        <f aca="false">IF(V6=1,Assumptions!$C$39,Assumptions!$C$40)*V7*Scenarios!$C$6</f>
        <v>273.635985006247</v>
      </c>
      <c r="W8" s="27" t="n">
        <f aca="false">IF(W6=1,Assumptions!$C$39,Assumptions!$C$40)*W7*Scenarios!$C$6</f>
        <v>336.109954185756</v>
      </c>
      <c r="X8" s="27" t="n">
        <f aca="false">IF(X6=1,Assumptions!$C$39,Assumptions!$C$40)*X7*Scenarios!$C$6</f>
        <v>192.419825072886</v>
      </c>
      <c r="Y8" s="27" t="n">
        <f aca="false">IF(Y6=1,Assumptions!$C$39,Assumptions!$C$40)*Y7*Scenarios!$C$6</f>
        <v>134.943773427738</v>
      </c>
      <c r="Z8" s="44" t="n">
        <f aca="false">IF(Z6=1,Assumptions!$C$39,Assumptions!$C$40)*Z7*Scenarios!$C$6</f>
        <v>117.451062057476</v>
      </c>
    </row>
    <row r="9" customFormat="false" ht="15" hidden="false" customHeight="true" outlineLevel="0" collapsed="false">
      <c r="A9" s="8" t="s">
        <v>270</v>
      </c>
      <c r="B9" s="27" t="n">
        <f aca="false">B8*Channel_Waterfalls!$B$22*Scenarios!$C$7</f>
        <v>269307.262295371</v>
      </c>
      <c r="C9" s="27" t="n">
        <f aca="false">C8*Channel_Waterfalls!$B$22*Scenarios!$C$7</f>
        <v>372446.213812748</v>
      </c>
      <c r="D9" s="27" t="n">
        <f aca="false">D8*Channel_Waterfalls!$B$22*Scenarios!$C$7</f>
        <v>487045.048832055</v>
      </c>
      <c r="E9" s="27" t="n">
        <f aca="false">E8*Channel_Waterfalls!$B$22*Scenarios!$C$7</f>
        <v>833706.524765458</v>
      </c>
      <c r="F9" s="27" t="n">
        <f aca="false">F8*Channel_Waterfalls!$B$22*Scenarios!$C$7</f>
        <v>928250.563656386</v>
      </c>
      <c r="G9" s="27" t="n">
        <f aca="false">G8*Channel_Waterfalls!$B$22*Scenarios!$C$7</f>
        <v>587319.029473948</v>
      </c>
      <c r="H9" s="27" t="n">
        <f aca="false">H8*Channel_Waterfalls!$B$22*Scenarios!$C$7</f>
        <v>610238.796477809</v>
      </c>
      <c r="I9" s="27" t="n">
        <f aca="false">I8*Channel_Waterfalls!$B$22*Scenarios!$C$7</f>
        <v>641753.476108119</v>
      </c>
      <c r="J9" s="27" t="n">
        <f aca="false">J8*Channel_Waterfalls!$B$22*Scenarios!$C$7</f>
        <v>627428.621730705</v>
      </c>
      <c r="K9" s="27" t="n">
        <f aca="false">K8*Channel_Waterfalls!$B$22*Scenarios!$C$7</f>
        <v>770677.165504839</v>
      </c>
      <c r="L9" s="27" t="n">
        <f aca="false">L8*Channel_Waterfalls!$B$22*Scenarios!$C$7</f>
        <v>441205.514824332</v>
      </c>
      <c r="M9" s="27" t="n">
        <f aca="false">M8*Channel_Waterfalls!$B$22*Scenarios!$C$7</f>
        <v>309416.854552129</v>
      </c>
      <c r="N9" s="27" t="n">
        <f aca="false">N8*Channel_Waterfalls!$B$22*Scenarios!$C$7</f>
        <v>448845.437158952</v>
      </c>
      <c r="O9" s="27" t="n">
        <f aca="false">O8*Channel_Waterfalls!$B$22*Scenarios!$C$7</f>
        <v>620743.689687913</v>
      </c>
      <c r="P9" s="27" t="n">
        <f aca="false">P8*Channel_Waterfalls!$B$22*Scenarios!$C$7</f>
        <v>811741.748053424</v>
      </c>
      <c r="Q9" s="27" t="n">
        <f aca="false">Q8*Channel_Waterfalls!$B$22*Scenarios!$C$7</f>
        <v>1389510.8746091</v>
      </c>
      <c r="R9" s="27" t="n">
        <f aca="false">R8*Channel_Waterfalls!$B$22*Scenarios!$C$7</f>
        <v>1547084.27276064</v>
      </c>
      <c r="S9" s="27" t="n">
        <f aca="false">S8*Channel_Waterfalls!$B$22*Scenarios!$C$7</f>
        <v>978865.049123247</v>
      </c>
      <c r="T9" s="27" t="n">
        <f aca="false">T8*Channel_Waterfalls!$B$22*Scenarios!$C$7</f>
        <v>1017064.66079635</v>
      </c>
      <c r="U9" s="27" t="n">
        <f aca="false">U8*Channel_Waterfalls!$B$22*Scenarios!$C$7</f>
        <v>1069589.12684686</v>
      </c>
      <c r="V9" s="27" t="n">
        <f aca="false">V8*Channel_Waterfalls!$B$22*Scenarios!$C$7</f>
        <v>1045714.36955118</v>
      </c>
      <c r="W9" s="27" t="n">
        <f aca="false">W8*Channel_Waterfalls!$B$22*Scenarios!$C$7</f>
        <v>1284461.94250807</v>
      </c>
      <c r="X9" s="27" t="n">
        <f aca="false">X8*Channel_Waterfalls!$B$22*Scenarios!$C$7</f>
        <v>735342.524707219</v>
      </c>
      <c r="Y9" s="27" t="n">
        <f aca="false">Y8*Channel_Waterfalls!$B$22*Scenarios!$C$7</f>
        <v>515694.757586881</v>
      </c>
      <c r="Z9" s="44" t="n">
        <f aca="false">Z8*Channel_Waterfalls!$B$22*Scenarios!$C$7</f>
        <v>448845.437158952</v>
      </c>
    </row>
    <row r="10" customFormat="false" ht="15" hidden="false" customHeight="true" outlineLevel="0" collapsed="false">
      <c r="A10" s="8" t="s">
        <v>247</v>
      </c>
      <c r="B10" s="27" t="n">
        <f aca="false">B8*Channel_Waterfalls!$B$23</f>
        <v>-182309.300291545</v>
      </c>
      <c r="C10" s="27" t="n">
        <f aca="false">C8*Channel_Waterfalls!$B$23</f>
        <v>-252129.883381924</v>
      </c>
      <c r="D10" s="27" t="n">
        <f aca="false">D8*Channel_Waterfalls!$B$23</f>
        <v>-329708.309037901</v>
      </c>
      <c r="E10" s="27" t="n">
        <f aca="false">E8*Channel_Waterfalls!$B$23</f>
        <v>-564383.04664723</v>
      </c>
      <c r="F10" s="27" t="n">
        <f aca="false">F8*Channel_Waterfalls!$B$23</f>
        <v>-628385.247813411</v>
      </c>
      <c r="G10" s="27" t="n">
        <f aca="false">G8*Channel_Waterfalls!$B$23</f>
        <v>-397589.43148688</v>
      </c>
      <c r="H10" s="27" t="n">
        <f aca="false">H8*Channel_Waterfalls!$B$23</f>
        <v>-413105.116618076</v>
      </c>
      <c r="I10" s="27" t="n">
        <f aca="false">I8*Channel_Waterfalls!$B$23</f>
        <v>-434439.183673469</v>
      </c>
      <c r="J10" s="27" t="n">
        <f aca="false">J8*Channel_Waterfalls!$B$23</f>
        <v>-424741.880466472</v>
      </c>
      <c r="K10" s="27" t="n">
        <f aca="false">K8*Channel_Waterfalls!$B$23</f>
        <v>-521714.912536443</v>
      </c>
      <c r="L10" s="27" t="n">
        <f aca="false">L8*Channel_Waterfalls!$B$23</f>
        <v>-298676.93877551</v>
      </c>
      <c r="M10" s="27" t="n">
        <f aca="false">M8*Channel_Waterfalls!$B$23</f>
        <v>-209461.749271137</v>
      </c>
      <c r="N10" s="27" t="n">
        <f aca="false">N8*Channel_Waterfalls!$B$23</f>
        <v>-303848.833819242</v>
      </c>
      <c r="O10" s="27" t="n">
        <f aca="false">O8*Channel_Waterfalls!$B$23</f>
        <v>-420216.472303207</v>
      </c>
      <c r="P10" s="27" t="n">
        <f aca="false">P8*Channel_Waterfalls!$B$23</f>
        <v>-549513.848396502</v>
      </c>
      <c r="Q10" s="27" t="n">
        <f aca="false">Q8*Channel_Waterfalls!$B$23</f>
        <v>-940638.411078717</v>
      </c>
      <c r="R10" s="27" t="n">
        <f aca="false">R8*Channel_Waterfalls!$B$23</f>
        <v>-1047308.74635569</v>
      </c>
      <c r="S10" s="27" t="n">
        <f aca="false">S8*Channel_Waterfalls!$B$23</f>
        <v>-662649.052478134</v>
      </c>
      <c r="T10" s="27" t="n">
        <f aca="false">T8*Channel_Waterfalls!$B$23</f>
        <v>-688508.527696793</v>
      </c>
      <c r="U10" s="27" t="n">
        <f aca="false">U8*Channel_Waterfalls!$B$23</f>
        <v>-724065.306122449</v>
      </c>
      <c r="V10" s="27" t="n">
        <f aca="false">V8*Channel_Waterfalls!$B$23</f>
        <v>-707903.134110787</v>
      </c>
      <c r="W10" s="27" t="n">
        <f aca="false">W8*Channel_Waterfalls!$B$23</f>
        <v>-869524.854227405</v>
      </c>
      <c r="X10" s="27" t="n">
        <f aca="false">X8*Channel_Waterfalls!$B$23</f>
        <v>-497794.897959184</v>
      </c>
      <c r="Y10" s="27" t="n">
        <f aca="false">Y8*Channel_Waterfalls!$B$23</f>
        <v>-349102.915451895</v>
      </c>
      <c r="Z10" s="44" t="n">
        <f aca="false">Z8*Channel_Waterfalls!$B$23</f>
        <v>-303848.833819242</v>
      </c>
    </row>
    <row r="11" customFormat="false" ht="15" hidden="false" customHeight="true" outlineLevel="0" collapsed="false">
      <c r="A11" s="8" t="s">
        <v>260</v>
      </c>
      <c r="B11" s="27" t="n">
        <f aca="false">B8*Channel_Waterfalls!$B$24</f>
        <v>-61966.6150067627</v>
      </c>
      <c r="C11" s="27" t="n">
        <f aca="false">C8*Channel_Waterfalls!$B$24</f>
        <v>-85698.5101157357</v>
      </c>
      <c r="D11" s="27" t="n">
        <f aca="false">D8*Channel_Waterfalls!$B$24</f>
        <v>-112067.282459039</v>
      </c>
      <c r="E11" s="27" t="n">
        <f aca="false">E8*Channel_Waterfalls!$B$24</f>
        <v>-191832.818797531</v>
      </c>
      <c r="F11" s="27" t="n">
        <f aca="false">F8*Channel_Waterfalls!$B$24</f>
        <v>-213587.055980757</v>
      </c>
      <c r="G11" s="27" t="n">
        <f aca="false">G8*Channel_Waterfalls!$B$24</f>
        <v>-135139.958259429</v>
      </c>
      <c r="H11" s="27" t="n">
        <f aca="false">H8*Channel_Waterfalls!$B$24</f>
        <v>-140413.71272809</v>
      </c>
      <c r="I11" s="27" t="n">
        <f aca="false">I8*Channel_Waterfalls!$B$24</f>
        <v>-147665.125122498</v>
      </c>
      <c r="J11" s="27" t="n">
        <f aca="false">J8*Channel_Waterfalls!$B$24</f>
        <v>-144369.028579585</v>
      </c>
      <c r="K11" s="27" t="n">
        <f aca="false">K8*Channel_Waterfalls!$B$24</f>
        <v>-177329.994008715</v>
      </c>
      <c r="L11" s="27" t="n">
        <f aca="false">L8*Channel_Waterfalls!$B$24</f>
        <v>-101519.773521718</v>
      </c>
      <c r="M11" s="27" t="n">
        <f aca="false">M8*Channel_Waterfalls!$B$24</f>
        <v>-71195.6853269189</v>
      </c>
      <c r="N11" s="27" t="n">
        <f aca="false">N8*Channel_Waterfalls!$B$24</f>
        <v>-103277.691677938</v>
      </c>
      <c r="O11" s="27" t="n">
        <f aca="false">O8*Channel_Waterfalls!$B$24</f>
        <v>-142830.850192893</v>
      </c>
      <c r="P11" s="27" t="n">
        <f aca="false">P8*Channel_Waterfalls!$B$24</f>
        <v>-186778.804098398</v>
      </c>
      <c r="Q11" s="27" t="n">
        <f aca="false">Q8*Channel_Waterfalls!$B$24</f>
        <v>-319721.364662552</v>
      </c>
      <c r="R11" s="27" t="n">
        <f aca="false">R8*Channel_Waterfalls!$B$24</f>
        <v>-355978.426634594</v>
      </c>
      <c r="S11" s="27" t="n">
        <f aca="false">S8*Channel_Waterfalls!$B$24</f>
        <v>-225233.263765716</v>
      </c>
      <c r="T11" s="27" t="n">
        <f aca="false">T8*Channel_Waterfalls!$B$24</f>
        <v>-234022.854546817</v>
      </c>
      <c r="U11" s="27" t="n">
        <f aca="false">U8*Channel_Waterfalls!$B$24</f>
        <v>-246108.541870831</v>
      </c>
      <c r="V11" s="27" t="n">
        <f aca="false">V8*Channel_Waterfalls!$B$24</f>
        <v>-240615.047632642</v>
      </c>
      <c r="W11" s="27" t="n">
        <f aca="false">W8*Channel_Waterfalls!$B$24</f>
        <v>-295549.990014524</v>
      </c>
      <c r="X11" s="27" t="n">
        <f aca="false">X8*Channel_Waterfalls!$B$24</f>
        <v>-169199.622536196</v>
      </c>
      <c r="Y11" s="27" t="n">
        <f aca="false">Y8*Channel_Waterfalls!$B$24</f>
        <v>-118659.475544865</v>
      </c>
      <c r="Z11" s="44" t="n">
        <f aca="false">Z8*Channel_Waterfalls!$B$24</f>
        <v>-103277.691677938</v>
      </c>
    </row>
    <row r="12" customFormat="false" ht="15" hidden="false" customHeight="true" outlineLevel="0" collapsed="false">
      <c r="A12" s="4" t="s">
        <v>256</v>
      </c>
      <c r="B12" s="11" t="n">
        <f aca="false">B9+B10+B11</f>
        <v>25031.3469970634</v>
      </c>
      <c r="C12" s="11" t="n">
        <f aca="false">C9+C10+C11</f>
        <v>34617.8203150877</v>
      </c>
      <c r="D12" s="11" t="n">
        <f aca="false">D9+D10+D11</f>
        <v>45269.4573351146</v>
      </c>
      <c r="E12" s="11" t="n">
        <f aca="false">E9+E10+E11</f>
        <v>77490.6593206962</v>
      </c>
      <c r="F12" s="11" t="n">
        <f aca="false">F9+F10+F11</f>
        <v>86278.2598622185</v>
      </c>
      <c r="G12" s="11" t="n">
        <f aca="false">G9+G10+G11</f>
        <v>54589.6397276383</v>
      </c>
      <c r="H12" s="11" t="n">
        <f aca="false">H9+H10+H11</f>
        <v>56719.9671316436</v>
      </c>
      <c r="I12" s="11" t="n">
        <f aca="false">I9+I10+I11</f>
        <v>59649.1673121511</v>
      </c>
      <c r="J12" s="11" t="n">
        <f aca="false">J9+J10+J11</f>
        <v>58317.7126846476</v>
      </c>
      <c r="K12" s="11" t="n">
        <f aca="false">K9+K10+K11</f>
        <v>71632.2589596814</v>
      </c>
      <c r="L12" s="11" t="n">
        <f aca="false">L9+L10+L11</f>
        <v>41008.8025271038</v>
      </c>
      <c r="M12" s="11" t="n">
        <f aca="false">M9+M10+M11</f>
        <v>28759.4199540728</v>
      </c>
      <c r="N12" s="11" t="n">
        <f aca="false">N9+N10+N11</f>
        <v>41718.9116617723</v>
      </c>
      <c r="O12" s="11" t="n">
        <f aca="false">O9+O10+O11</f>
        <v>57696.3671918127</v>
      </c>
      <c r="P12" s="11" t="n">
        <f aca="false">P9+P10+P11</f>
        <v>75449.0955585243</v>
      </c>
      <c r="Q12" s="11" t="n">
        <f aca="false">Q9+Q10+Q11</f>
        <v>129151.098867827</v>
      </c>
      <c r="R12" s="11" t="n">
        <f aca="false">R9+R10+R11</f>
        <v>143797.099770364</v>
      </c>
      <c r="S12" s="11" t="n">
        <f aca="false">S9+S10+S11</f>
        <v>90982.732879397</v>
      </c>
      <c r="T12" s="11" t="n">
        <f aca="false">T9+T10+T11</f>
        <v>94533.2785527394</v>
      </c>
      <c r="U12" s="11" t="n">
        <f aca="false">U9+U10+U11</f>
        <v>99415.2788535852</v>
      </c>
      <c r="V12" s="11" t="n">
        <f aca="false">V9+V10+V11</f>
        <v>97196.187807746</v>
      </c>
      <c r="W12" s="11" t="n">
        <f aca="false">W9+W10+W11</f>
        <v>119387.098266136</v>
      </c>
      <c r="X12" s="11" t="n">
        <f aca="false">X9+X10+X11</f>
        <v>68348.0042118397</v>
      </c>
      <c r="Y12" s="11" t="n">
        <f aca="false">Y9+Y10+Y11</f>
        <v>47932.3665901214</v>
      </c>
      <c r="Z12" s="45" t="n">
        <f aca="false">Z9+Z10+Z11</f>
        <v>41718.9116617723</v>
      </c>
    </row>
    <row r="13" customFormat="false" ht="15" hidden="false" customHeight="true" outlineLevel="0" collapsed="false">
      <c r="A13" s="8" t="s">
        <v>271</v>
      </c>
      <c r="B13" s="27" t="n">
        <f aca="false">-Assumptions!$C$36*Scenarios!$C$9</f>
        <v>-265000</v>
      </c>
      <c r="C13" s="27" t="n">
        <f aca="false">-Assumptions!$C$36*Scenarios!$C$9</f>
        <v>-265000</v>
      </c>
      <c r="D13" s="27" t="n">
        <f aca="false">-Assumptions!$C$36*Scenarios!$C$9</f>
        <v>-265000</v>
      </c>
      <c r="E13" s="27" t="n">
        <f aca="false">-Assumptions!$C$36*Scenarios!$C$9</f>
        <v>-265000</v>
      </c>
      <c r="F13" s="27" t="n">
        <f aca="false">-Assumptions!$C$36*Scenarios!$C$9</f>
        <v>-265000</v>
      </c>
      <c r="G13" s="27" t="n">
        <f aca="false">-Assumptions!$C$36*Scenarios!$C$9</f>
        <v>-265000</v>
      </c>
      <c r="H13" s="27" t="n">
        <f aca="false">-Assumptions!$C$36*Scenarios!$C$9</f>
        <v>-265000</v>
      </c>
      <c r="I13" s="27" t="n">
        <f aca="false">-Assumptions!$C$36*Scenarios!$C$9</f>
        <v>-265000</v>
      </c>
      <c r="J13" s="27" t="n">
        <f aca="false">-Assumptions!$C$36*Scenarios!$C$9</f>
        <v>-265000</v>
      </c>
      <c r="K13" s="27" t="n">
        <f aca="false">-Assumptions!$C$36*Scenarios!$C$9</f>
        <v>-265000</v>
      </c>
      <c r="L13" s="27" t="n">
        <f aca="false">-Assumptions!$C$36*Scenarios!$C$9</f>
        <v>-265000</v>
      </c>
      <c r="M13" s="27" t="n">
        <f aca="false">-Assumptions!$C$36*Scenarios!$C$9</f>
        <v>-265000</v>
      </c>
      <c r="N13" s="27" t="n">
        <f aca="false">-Assumptions!$C$36*Scenarios!$C$9</f>
        <v>-265000</v>
      </c>
      <c r="O13" s="27" t="n">
        <f aca="false">-Assumptions!$C$36*Scenarios!$C$9</f>
        <v>-265000</v>
      </c>
      <c r="P13" s="27" t="n">
        <f aca="false">-Assumptions!$C$36*Scenarios!$C$9</f>
        <v>-265000</v>
      </c>
      <c r="Q13" s="27" t="n">
        <f aca="false">-Assumptions!$C$36*Scenarios!$C$9</f>
        <v>-265000</v>
      </c>
      <c r="R13" s="27" t="n">
        <f aca="false">-Assumptions!$C$36*Scenarios!$C$9</f>
        <v>-265000</v>
      </c>
      <c r="S13" s="27" t="n">
        <f aca="false">-Assumptions!$C$36*Scenarios!$C$9</f>
        <v>-265000</v>
      </c>
      <c r="T13" s="27" t="n">
        <f aca="false">-Assumptions!$C$36*Scenarios!$C$9</f>
        <v>-265000</v>
      </c>
      <c r="U13" s="27" t="n">
        <f aca="false">-Assumptions!$C$36*Scenarios!$C$9</f>
        <v>-265000</v>
      </c>
      <c r="V13" s="27" t="n">
        <f aca="false">-Assumptions!$C$36*Scenarios!$C$9</f>
        <v>-265000</v>
      </c>
      <c r="W13" s="27" t="n">
        <f aca="false">-Assumptions!$C$36*Scenarios!$C$9</f>
        <v>-265000</v>
      </c>
      <c r="X13" s="27" t="n">
        <f aca="false">-Assumptions!$C$36*Scenarios!$C$9</f>
        <v>-265000</v>
      </c>
      <c r="Y13" s="27" t="n">
        <f aca="false">-Assumptions!$C$36*Scenarios!$C$9</f>
        <v>-265000</v>
      </c>
      <c r="Z13" s="44" t="n">
        <f aca="false">-Assumptions!$C$36*Scenarios!$C$9</f>
        <v>-265000</v>
      </c>
    </row>
    <row r="14" customFormat="false" ht="15" hidden="false" customHeight="true" outlineLevel="0" collapsed="false">
      <c r="A14" s="8" t="s">
        <v>272</v>
      </c>
      <c r="B14" s="27" t="n">
        <f aca="false">-Assumptions!$C$37</f>
        <v>-75000</v>
      </c>
      <c r="C14" s="27" t="n">
        <f aca="false">-Assumptions!$C$37</f>
        <v>-75000</v>
      </c>
      <c r="D14" s="27" t="n">
        <f aca="false">-Assumptions!$C$37</f>
        <v>-75000</v>
      </c>
      <c r="E14" s="27" t="n">
        <f aca="false">-Assumptions!$C$37</f>
        <v>-75000</v>
      </c>
      <c r="F14" s="27" t="n">
        <f aca="false">-Assumptions!$C$37</f>
        <v>-75000</v>
      </c>
      <c r="G14" s="27" t="n">
        <f aca="false">-Assumptions!$C$37</f>
        <v>-75000</v>
      </c>
      <c r="H14" s="27" t="n">
        <f aca="false">-Assumptions!$C$37</f>
        <v>-75000</v>
      </c>
      <c r="I14" s="27" t="n">
        <f aca="false">-Assumptions!$C$37</f>
        <v>-75000</v>
      </c>
      <c r="J14" s="27" t="n">
        <f aca="false">-Assumptions!$C$37</f>
        <v>-75000</v>
      </c>
      <c r="K14" s="27" t="n">
        <f aca="false">-Assumptions!$C$37</f>
        <v>-75000</v>
      </c>
      <c r="L14" s="27" t="n">
        <f aca="false">-Assumptions!$C$37</f>
        <v>-75000</v>
      </c>
      <c r="M14" s="27" t="n">
        <f aca="false">-Assumptions!$C$37</f>
        <v>-75000</v>
      </c>
      <c r="N14" s="27" t="n">
        <f aca="false">-Assumptions!$C$37</f>
        <v>-75000</v>
      </c>
      <c r="O14" s="27" t="n">
        <f aca="false">-Assumptions!$C$37</f>
        <v>-75000</v>
      </c>
      <c r="P14" s="27" t="n">
        <f aca="false">-Assumptions!$C$37</f>
        <v>-75000</v>
      </c>
      <c r="Q14" s="27" t="n">
        <f aca="false">-Assumptions!$C$37</f>
        <v>-75000</v>
      </c>
      <c r="R14" s="27" t="n">
        <f aca="false">-Assumptions!$C$37</f>
        <v>-75000</v>
      </c>
      <c r="S14" s="27" t="n">
        <f aca="false">-Assumptions!$C$37</f>
        <v>-75000</v>
      </c>
      <c r="T14" s="27" t="n">
        <f aca="false">-Assumptions!$C$37</f>
        <v>-75000</v>
      </c>
      <c r="U14" s="27" t="n">
        <f aca="false">-Assumptions!$C$37</f>
        <v>-75000</v>
      </c>
      <c r="V14" s="27" t="n">
        <f aca="false">-Assumptions!$C$37</f>
        <v>-75000</v>
      </c>
      <c r="W14" s="27" t="n">
        <f aca="false">-Assumptions!$C$37</f>
        <v>-75000</v>
      </c>
      <c r="X14" s="27" t="n">
        <f aca="false">-Assumptions!$C$37</f>
        <v>-75000</v>
      </c>
      <c r="Y14" s="27" t="n">
        <f aca="false">-Assumptions!$C$37</f>
        <v>-75000</v>
      </c>
      <c r="Z14" s="44" t="n">
        <f aca="false">-Assumptions!$C$37</f>
        <v>-75000</v>
      </c>
    </row>
    <row r="15" customFormat="false" ht="15" hidden="false" customHeight="true" outlineLevel="0" collapsed="false">
      <c r="A15" s="8" t="s">
        <v>273</v>
      </c>
      <c r="B15" s="27" t="n">
        <f aca="false">-Assumptions!$C$38</f>
        <v>-800000</v>
      </c>
      <c r="C15" s="27" t="n">
        <v>0</v>
      </c>
      <c r="D15" s="27" t="n">
        <v>0</v>
      </c>
      <c r="E15" s="27" t="n">
        <v>0</v>
      </c>
      <c r="F15" s="27" t="n">
        <v>0</v>
      </c>
      <c r="G15" s="27" t="n">
        <v>0</v>
      </c>
      <c r="H15" s="27" t="n">
        <v>0</v>
      </c>
      <c r="I15" s="27" t="n">
        <v>0</v>
      </c>
      <c r="J15" s="27" t="n">
        <v>0</v>
      </c>
      <c r="K15" s="27" t="n">
        <v>0</v>
      </c>
      <c r="L15" s="27" t="n">
        <v>0</v>
      </c>
      <c r="M15" s="27" t="n">
        <v>0</v>
      </c>
      <c r="N15" s="27" t="n">
        <v>0</v>
      </c>
      <c r="O15" s="27" t="n">
        <v>0</v>
      </c>
      <c r="P15" s="27" t="n">
        <v>0</v>
      </c>
      <c r="Q15" s="27" t="n">
        <v>0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v>0</v>
      </c>
      <c r="X15" s="27" t="n">
        <v>0</v>
      </c>
      <c r="Y15" s="27" t="n">
        <v>0</v>
      </c>
      <c r="Z15" s="44" t="n">
        <v>0</v>
      </c>
    </row>
    <row r="16" customFormat="false" ht="15" hidden="false" customHeight="true" outlineLevel="0" collapsed="false">
      <c r="A16" s="4" t="s">
        <v>274</v>
      </c>
      <c r="B16" s="11" t="n">
        <f aca="false">SUM(B12:B15)</f>
        <v>-1114968.65300294</v>
      </c>
      <c r="C16" s="11" t="n">
        <f aca="false">SUM(C12:C15)</f>
        <v>-305382.179684912</v>
      </c>
      <c r="D16" s="11" t="n">
        <f aca="false">SUM(D12:D15)</f>
        <v>-294730.542664885</v>
      </c>
      <c r="E16" s="11" t="n">
        <f aca="false">SUM(E12:E15)</f>
        <v>-262509.340679304</v>
      </c>
      <c r="F16" s="11" t="n">
        <f aca="false">SUM(F12:F15)</f>
        <v>-253721.740137782</v>
      </c>
      <c r="G16" s="11" t="n">
        <f aca="false">SUM(G12:G15)</f>
        <v>-285410.360272362</v>
      </c>
      <c r="H16" s="11" t="n">
        <f aca="false">SUM(H12:H15)</f>
        <v>-283280.032868356</v>
      </c>
      <c r="I16" s="11" t="n">
        <f aca="false">SUM(I12:I15)</f>
        <v>-280350.832687849</v>
      </c>
      <c r="J16" s="11" t="n">
        <f aca="false">SUM(J12:J15)</f>
        <v>-281682.287315352</v>
      </c>
      <c r="K16" s="11" t="n">
        <f aca="false">SUM(K12:K15)</f>
        <v>-268367.741040319</v>
      </c>
      <c r="L16" s="11" t="n">
        <f aca="false">SUM(L12:L15)</f>
        <v>-298991.197472896</v>
      </c>
      <c r="M16" s="11" t="n">
        <f aca="false">SUM(M12:M15)</f>
        <v>-311240.580045927</v>
      </c>
      <c r="N16" s="11" t="n">
        <f aca="false">SUM(N12:N15)</f>
        <v>-298281.088338228</v>
      </c>
      <c r="O16" s="11" t="n">
        <f aca="false">SUM(O12:O15)</f>
        <v>-282303.632808187</v>
      </c>
      <c r="P16" s="11" t="n">
        <f aca="false">SUM(P12:P15)</f>
        <v>-264550.904441476</v>
      </c>
      <c r="Q16" s="11" t="n">
        <f aca="false">SUM(Q12:Q15)</f>
        <v>-210848.901132173</v>
      </c>
      <c r="R16" s="11" t="n">
        <f aca="false">SUM(R12:R15)</f>
        <v>-196202.900229636</v>
      </c>
      <c r="S16" s="11" t="n">
        <f aca="false">SUM(S12:S15)</f>
        <v>-249017.267120603</v>
      </c>
      <c r="T16" s="11" t="n">
        <f aca="false">SUM(T12:T15)</f>
        <v>-245466.721447261</v>
      </c>
      <c r="U16" s="11" t="n">
        <f aca="false">SUM(U12:U15)</f>
        <v>-240584.721146415</v>
      </c>
      <c r="V16" s="11" t="n">
        <f aca="false">SUM(V12:V15)</f>
        <v>-242803.812192254</v>
      </c>
      <c r="W16" s="11" t="n">
        <f aca="false">SUM(W12:W15)</f>
        <v>-220612.901733864</v>
      </c>
      <c r="X16" s="11" t="n">
        <f aca="false">SUM(X12:X15)</f>
        <v>-271651.99578816</v>
      </c>
      <c r="Y16" s="11" t="n">
        <f aca="false">SUM(Y12:Y15)</f>
        <v>-292067.633409879</v>
      </c>
      <c r="Z16" s="45" t="n">
        <f aca="false">SUM(Z12:Z15)</f>
        <v>-298281.088338228</v>
      </c>
    </row>
    <row r="17" customFormat="false" ht="15" hidden="false" customHeight="true" outlineLevel="0" collapsed="false">
      <c r="A17" s="8" t="s">
        <v>275</v>
      </c>
      <c r="B17" s="27" t="n">
        <f aca="false">B16</f>
        <v>-1114968.65300294</v>
      </c>
      <c r="C17" s="27" t="n">
        <f aca="false">B17+C16</f>
        <v>-1420350.83268785</v>
      </c>
      <c r="D17" s="27" t="n">
        <f aca="false">C17+D16</f>
        <v>-1715081.37535273</v>
      </c>
      <c r="E17" s="27" t="n">
        <f aca="false">D17+E16</f>
        <v>-1977590.71603204</v>
      </c>
      <c r="F17" s="27" t="n">
        <f aca="false">E17+F16</f>
        <v>-2231312.45616982</v>
      </c>
      <c r="G17" s="27" t="n">
        <f aca="false">F17+G16</f>
        <v>-2516722.81644218</v>
      </c>
      <c r="H17" s="27" t="n">
        <f aca="false">G17+H16</f>
        <v>-2800002.84931054</v>
      </c>
      <c r="I17" s="27" t="n">
        <f aca="false">H17+I16</f>
        <v>-3080353.68199839</v>
      </c>
      <c r="J17" s="27" t="n">
        <f aca="false">I17+J16</f>
        <v>-3362035.96931374</v>
      </c>
      <c r="K17" s="27" t="n">
        <f aca="false">J17+K16</f>
        <v>-3630403.71035406</v>
      </c>
      <c r="L17" s="27" t="n">
        <f aca="false">K17+L16</f>
        <v>-3929394.90782695</v>
      </c>
      <c r="M17" s="27" t="n">
        <f aca="false">L17+M16</f>
        <v>-4240635.48787288</v>
      </c>
      <c r="N17" s="27" t="n">
        <f aca="false">M17+N16</f>
        <v>-4538916.57621111</v>
      </c>
      <c r="O17" s="27" t="n">
        <f aca="false">N17+O16</f>
        <v>-4821220.2090193</v>
      </c>
      <c r="P17" s="27" t="n">
        <f aca="false">O17+P16</f>
        <v>-5085771.11346077</v>
      </c>
      <c r="Q17" s="27" t="n">
        <f aca="false">P17+Q16</f>
        <v>-5296620.01459295</v>
      </c>
      <c r="R17" s="27" t="n">
        <f aca="false">Q17+R16</f>
        <v>-5492822.91482258</v>
      </c>
      <c r="S17" s="27" t="n">
        <f aca="false">R17+S16</f>
        <v>-5741840.18194318</v>
      </c>
      <c r="T17" s="27" t="n">
        <f aca="false">S17+T16</f>
        <v>-5987306.90339045</v>
      </c>
      <c r="U17" s="27" t="n">
        <f aca="false">T17+U16</f>
        <v>-6227891.62453686</v>
      </c>
      <c r="V17" s="27" t="n">
        <f aca="false">U17+V16</f>
        <v>-6470695.43672911</v>
      </c>
      <c r="W17" s="27" t="n">
        <f aca="false">V17+W16</f>
        <v>-6691308.33846298</v>
      </c>
      <c r="X17" s="27" t="n">
        <f aca="false">W17+X16</f>
        <v>-6962960.33425114</v>
      </c>
      <c r="Y17" s="27" t="n">
        <f aca="false">X17+Y16</f>
        <v>-7255027.96766102</v>
      </c>
      <c r="Z17" s="44" t="n">
        <f aca="false">Y17+Z16</f>
        <v>-7553309.05599924</v>
      </c>
    </row>
    <row r="18" customFormat="false" ht="15" hidden="false" customHeight="true" outlineLevel="0" collapsed="false">
      <c r="A18" s="8" t="s">
        <v>276</v>
      </c>
      <c r="B18" s="27" t="n">
        <f aca="false">C10</f>
        <v>-252129.883381924</v>
      </c>
      <c r="C18" s="27" t="n">
        <f aca="false">D10</f>
        <v>-329708.309037901</v>
      </c>
      <c r="D18" s="27" t="n">
        <f aca="false">E10</f>
        <v>-564383.04664723</v>
      </c>
      <c r="E18" s="27" t="n">
        <f aca="false">F10</f>
        <v>-628385.247813411</v>
      </c>
      <c r="F18" s="27" t="n">
        <f aca="false">G10</f>
        <v>-397589.43148688</v>
      </c>
      <c r="G18" s="27" t="n">
        <f aca="false">H10</f>
        <v>-413105.116618076</v>
      </c>
      <c r="H18" s="27" t="n">
        <f aca="false">I10</f>
        <v>-434439.183673469</v>
      </c>
      <c r="I18" s="27" t="n">
        <f aca="false">J10</f>
        <v>-424741.880466472</v>
      </c>
      <c r="J18" s="27" t="n">
        <f aca="false">K10</f>
        <v>-521714.912536443</v>
      </c>
      <c r="K18" s="27" t="n">
        <f aca="false">L10</f>
        <v>-298676.93877551</v>
      </c>
      <c r="L18" s="27" t="n">
        <f aca="false">M10</f>
        <v>-209461.749271137</v>
      </c>
      <c r="M18" s="27" t="n">
        <f aca="false">N10</f>
        <v>-303848.833819242</v>
      </c>
      <c r="N18" s="27" t="n">
        <f aca="false">O10</f>
        <v>-420216.472303207</v>
      </c>
      <c r="O18" s="27" t="n">
        <f aca="false">P10</f>
        <v>-549513.848396502</v>
      </c>
      <c r="P18" s="27" t="n">
        <f aca="false">Q10</f>
        <v>-940638.411078717</v>
      </c>
      <c r="Q18" s="27" t="n">
        <f aca="false">R10</f>
        <v>-1047308.74635569</v>
      </c>
      <c r="R18" s="27" t="n">
        <f aca="false">S10</f>
        <v>-662649.052478134</v>
      </c>
      <c r="S18" s="27" t="n">
        <f aca="false">T10</f>
        <v>-688508.527696793</v>
      </c>
      <c r="T18" s="27" t="n">
        <f aca="false">U10</f>
        <v>-724065.306122449</v>
      </c>
      <c r="U18" s="27" t="n">
        <f aca="false">V10</f>
        <v>-707903.134110787</v>
      </c>
      <c r="V18" s="27" t="n">
        <f aca="false">W10</f>
        <v>-869524.854227405</v>
      </c>
      <c r="W18" s="27" t="n">
        <f aca="false">X10</f>
        <v>-497794.897959184</v>
      </c>
      <c r="X18" s="27" t="n">
        <f aca="false">Y10</f>
        <v>-349102.915451895</v>
      </c>
      <c r="Y18" s="27" t="n">
        <f aca="false">Y10</f>
        <v>-349102.915451895</v>
      </c>
      <c r="Z18" s="44" t="n">
        <f aca="false">Z10</f>
        <v>-303848.833819242</v>
      </c>
    </row>
    <row r="19" customFormat="false" ht="15" hidden="false" customHeight="true" outlineLevel="0" collapsed="false">
      <c r="A19" s="8" t="s">
        <v>277</v>
      </c>
      <c r="B19" s="27" t="n">
        <f aca="false">-B9*(Assumptions!$D$22)</f>
        <v>-80792.1786886114</v>
      </c>
      <c r="C19" s="27" t="n">
        <f aca="false">-(C9-B9)*(Assumptions!$D$22)</f>
        <v>-30941.6854552129</v>
      </c>
      <c r="D19" s="27" t="n">
        <f aca="false">-(D9-C9)*(Assumptions!$D$22)</f>
        <v>-34379.6505057921</v>
      </c>
      <c r="E19" s="27" t="n">
        <f aca="false">-(E9-D9)*(Assumptions!$D$22)</f>
        <v>-103998.442780021</v>
      </c>
      <c r="F19" s="27" t="n">
        <f aca="false">-(F9-E9)*(Assumptions!$D$22)</f>
        <v>-28363.2116672785</v>
      </c>
      <c r="G19" s="27" t="n">
        <f aca="false">-(G9-F9)*(Assumptions!$D$22)</f>
        <v>102279.460254731</v>
      </c>
      <c r="H19" s="27" t="n">
        <f aca="false">-(H9-G9)*(Assumptions!$D$22)</f>
        <v>-6875.93010115841</v>
      </c>
      <c r="I19" s="27" t="n">
        <f aca="false">-(I9-H9)*(Assumptions!$D$22)</f>
        <v>-9454.4038890928</v>
      </c>
      <c r="J19" s="27" t="n">
        <f aca="false">-(J9-I9)*(Assumptions!$D$22)</f>
        <v>4297.45631322402</v>
      </c>
      <c r="K19" s="27" t="n">
        <f aca="false">-(K9-J9)*(Assumptions!$D$22)</f>
        <v>-42974.5631322401</v>
      </c>
      <c r="L19" s="27" t="n">
        <f aca="false">-(L9-K9)*(Assumptions!$D$22)</f>
        <v>98841.4952041522</v>
      </c>
      <c r="M19" s="27" t="n">
        <f aca="false">-(M9-L9)*(Assumptions!$D$22)</f>
        <v>39536.5980816609</v>
      </c>
      <c r="N19" s="27" t="n">
        <f aca="false">-(N9-M9)*(Assumptions!$D$22)</f>
        <v>-41828.574782047</v>
      </c>
      <c r="O19" s="27" t="n">
        <f aca="false">-(O9-N9)*(Assumptions!$D$22)</f>
        <v>-51569.4757586881</v>
      </c>
      <c r="P19" s="27" t="n">
        <f aca="false">-(P9-O9)*(Assumptions!$D$22)</f>
        <v>-57299.4175096535</v>
      </c>
      <c r="Q19" s="27" t="n">
        <f aca="false">-(Q9-P9)*(Assumptions!$D$22)</f>
        <v>-173330.737966702</v>
      </c>
      <c r="R19" s="27" t="n">
        <f aca="false">-(R9-Q9)*(Assumptions!$D$22)</f>
        <v>-47272.0194454641</v>
      </c>
      <c r="S19" s="27" t="n">
        <f aca="false">-(S9-R9)*(Assumptions!$D$22)</f>
        <v>170465.767091219</v>
      </c>
      <c r="T19" s="27" t="n">
        <f aca="false">-(T9-S9)*(Assumptions!$D$22)</f>
        <v>-11459.8835019307</v>
      </c>
      <c r="U19" s="27" t="n">
        <f aca="false">-(U9-T9)*(Assumptions!$D$22)</f>
        <v>-15757.3398151548</v>
      </c>
      <c r="V19" s="27" t="n">
        <f aca="false">-(V9-U9)*(Assumptions!$D$22)</f>
        <v>7162.42718870676</v>
      </c>
      <c r="W19" s="27" t="n">
        <f aca="false">-(W9-V9)*(Assumptions!$D$22)</f>
        <v>-71624.2718870669</v>
      </c>
      <c r="X19" s="27" t="n">
        <f aca="false">-(X9-W9)*(Assumptions!$D$22)</f>
        <v>164735.825340254</v>
      </c>
      <c r="Y19" s="27" t="n">
        <f aca="false">-(Y9-X9)*(Assumptions!$D$22)</f>
        <v>65894.3301361015</v>
      </c>
      <c r="Z19" s="44" t="n">
        <f aca="false">-(Z9-Y9)*(Assumptions!$D$22)</f>
        <v>20054.7961283787</v>
      </c>
    </row>
    <row r="20" customFormat="false" ht="15" hidden="false" customHeight="true" outlineLevel="0" collapsed="false">
      <c r="A20" s="4" t="s">
        <v>278</v>
      </c>
      <c r="B20" s="11" t="n">
        <f aca="false">B16+B18+B19</f>
        <v>-1447890.71507347</v>
      </c>
      <c r="C20" s="11" t="n">
        <f aca="false">C16-C10+C18+C19</f>
        <v>-413902.290796102</v>
      </c>
      <c r="D20" s="11" t="n">
        <f aca="false">D16-D10+D18+D19</f>
        <v>-563784.930780007</v>
      </c>
      <c r="E20" s="11" t="n">
        <f aca="false">E16-E10+E18+E19</f>
        <v>-430509.984625506</v>
      </c>
      <c r="F20" s="11" t="n">
        <f aca="false">F16-F10+F18+F19</f>
        <v>-51289.1354785293</v>
      </c>
      <c r="G20" s="11" t="n">
        <f aca="false">G16-G10+G18+G19</f>
        <v>-198646.585148826</v>
      </c>
      <c r="H20" s="11" t="n">
        <f aca="false">H16-H10+H18+H19</f>
        <v>-311490.030024908</v>
      </c>
      <c r="I20" s="11" t="n">
        <f aca="false">I16-I10+I18+I19</f>
        <v>-280107.933369945</v>
      </c>
      <c r="J20" s="11" t="n">
        <f aca="false">J16-J10+J18+J19</f>
        <v>-374357.863072099</v>
      </c>
      <c r="K20" s="11" t="n">
        <f aca="false">K16-K10+K18+K19</f>
        <v>-88304.3304116258</v>
      </c>
      <c r="L20" s="11" t="n">
        <f aca="false">L16-L10+L18+L19</f>
        <v>-110934.512764371</v>
      </c>
      <c r="M20" s="11" t="n">
        <f aca="false">M16-M10+M18+M19</f>
        <v>-366091.066512371</v>
      </c>
      <c r="N20" s="11" t="n">
        <f aca="false">N16-N10+N18+N19</f>
        <v>-456477.30160424</v>
      </c>
      <c r="O20" s="11" t="n">
        <f aca="false">O16-O10+O18+O19</f>
        <v>-463170.48466017</v>
      </c>
      <c r="P20" s="11" t="n">
        <f aca="false">P16-P10+P18+P19</f>
        <v>-712974.884633345</v>
      </c>
      <c r="Q20" s="11" t="n">
        <f aca="false">Q16-Q10+Q18+Q19</f>
        <v>-490849.974375843</v>
      </c>
      <c r="R20" s="11" t="n">
        <f aca="false">R16-R10+R18+R19</f>
        <v>141184.774202451</v>
      </c>
      <c r="S20" s="11" t="n">
        <f aca="false">S16-S10+S18+S19</f>
        <v>-104410.975248043</v>
      </c>
      <c r="T20" s="11" t="n">
        <f aca="false">T16-T10+T18+T19</f>
        <v>-292483.383374847</v>
      </c>
      <c r="U20" s="11" t="n">
        <f aca="false">U16-U10+U18+U19</f>
        <v>-240179.888949908</v>
      </c>
      <c r="V20" s="11" t="n">
        <f aca="false">V16-V10+V18+V19</f>
        <v>-397263.105120165</v>
      </c>
      <c r="W20" s="11" t="n">
        <f aca="false">W16-W10+W18+W19</f>
        <v>79492.7826472903</v>
      </c>
      <c r="X20" s="11" t="n">
        <f aca="false">X16-X10+X18+X19</f>
        <v>41775.812059382</v>
      </c>
      <c r="Y20" s="11" t="n">
        <f aca="false">Y16-Y10+Y18+Y19</f>
        <v>-226173.303273777</v>
      </c>
      <c r="Z20" s="45" t="n">
        <f aca="false">Z16-Z10+Z18+Z19</f>
        <v>-278226.292209849</v>
      </c>
    </row>
    <row r="21" customFormat="false" ht="15" hidden="false" customHeight="true" outlineLevel="0" collapsed="false">
      <c r="A21" s="4" t="s">
        <v>279</v>
      </c>
      <c r="B21" s="11" t="n">
        <f aca="false">B20</f>
        <v>-1447890.71507347</v>
      </c>
      <c r="C21" s="11" t="n">
        <f aca="false">B21+C20</f>
        <v>-1861793.00586957</v>
      </c>
      <c r="D21" s="11" t="n">
        <f aca="false">C21+D20</f>
        <v>-2425577.93664958</v>
      </c>
      <c r="E21" s="11" t="n">
        <f aca="false">D21+E20</f>
        <v>-2856087.92127509</v>
      </c>
      <c r="F21" s="11" t="n">
        <f aca="false">E21+F20</f>
        <v>-2907377.05675362</v>
      </c>
      <c r="G21" s="11" t="n">
        <f aca="false">F21+G20</f>
        <v>-3106023.64190244</v>
      </c>
      <c r="H21" s="11" t="n">
        <f aca="false">G21+H20</f>
        <v>-3417513.67192735</v>
      </c>
      <c r="I21" s="11" t="n">
        <f aca="false">H21+I20</f>
        <v>-3697621.60529729</v>
      </c>
      <c r="J21" s="11" t="n">
        <f aca="false">I21+J20</f>
        <v>-4071979.46836939</v>
      </c>
      <c r="K21" s="11" t="n">
        <f aca="false">J21+K20</f>
        <v>-4160283.79878102</v>
      </c>
      <c r="L21" s="11" t="n">
        <f aca="false">K21+L20</f>
        <v>-4271218.31154539</v>
      </c>
      <c r="M21" s="11" t="n">
        <f aca="false">L21+M20</f>
        <v>-4637309.37805776</v>
      </c>
      <c r="N21" s="11" t="n">
        <f aca="false">M21+N20</f>
        <v>-5093786.679662</v>
      </c>
      <c r="O21" s="11" t="n">
        <f aca="false">N21+O20</f>
        <v>-5556957.16432217</v>
      </c>
      <c r="P21" s="11" t="n">
        <f aca="false">O21+P20</f>
        <v>-6269932.04895552</v>
      </c>
      <c r="Q21" s="11" t="n">
        <f aca="false">P21+Q20</f>
        <v>-6760782.02333136</v>
      </c>
      <c r="R21" s="11" t="n">
        <f aca="false">Q21+R20</f>
        <v>-6619597.24912891</v>
      </c>
      <c r="S21" s="11" t="n">
        <f aca="false">R21+S20</f>
        <v>-6724008.22437695</v>
      </c>
      <c r="T21" s="11" t="n">
        <f aca="false">S21+T20</f>
        <v>-7016491.6077518</v>
      </c>
      <c r="U21" s="11" t="n">
        <f aca="false">T21+U20</f>
        <v>-7256671.4967017</v>
      </c>
      <c r="V21" s="11" t="n">
        <f aca="false">U21+V20</f>
        <v>-7653934.60182187</v>
      </c>
      <c r="W21" s="11" t="n">
        <f aca="false">V21+W20</f>
        <v>-7574441.81917458</v>
      </c>
      <c r="X21" s="11" t="n">
        <f aca="false">W21+X20</f>
        <v>-7532666.0071152</v>
      </c>
      <c r="Y21" s="11" t="n">
        <f aca="false">X21+Y20</f>
        <v>-7758839.31038897</v>
      </c>
      <c r="Z21" s="45" t="n">
        <f aca="false">Y21+Z20</f>
        <v>-8037065.60259882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9" min="2" style="1" width="16"/>
  </cols>
  <sheetData>
    <row r="1" customFormat="false" ht="26.25" hidden="false" customHeight="true" outlineLevel="0" collapsed="false">
      <c r="A1" s="46" t="s">
        <v>280</v>
      </c>
    </row>
    <row r="3" customFormat="false" ht="15" hidden="false" customHeight="true" outlineLevel="0" collapsed="false">
      <c r="A3" s="47" t="s">
        <v>281</v>
      </c>
    </row>
    <row r="4" customFormat="false" ht="15" hidden="false" customHeight="true" outlineLevel="0" collapsed="false">
      <c r="A4" s="3" t="s">
        <v>282</v>
      </c>
      <c r="B4" s="48" t="n">
        <f aca="false">Inputs!$B$2</f>
        <v>3.1</v>
      </c>
    </row>
    <row r="5" customFormat="false" ht="15" hidden="false" customHeight="true" outlineLevel="0" collapsed="false">
      <c r="A5" s="3" t="s">
        <v>283</v>
      </c>
      <c r="B5" s="49" t="n">
        <f aca="false">B4*Inputs!$B$3*1000000000/10000000</f>
        <v>26660</v>
      </c>
    </row>
    <row r="6" customFormat="false" ht="15" hidden="false" customHeight="true" outlineLevel="0" collapsed="false">
      <c r="A6" s="3" t="s">
        <v>284</v>
      </c>
      <c r="B6" s="49" t="n">
        <f aca="false">B5*Inputs!$B$4</f>
        <v>4665.5</v>
      </c>
    </row>
    <row r="7" customFormat="false" ht="15" hidden="false" customHeight="true" outlineLevel="0" collapsed="false">
      <c r="A7" s="3" t="s">
        <v>285</v>
      </c>
      <c r="B7" s="49" t="n">
        <f aca="false">B6*Inputs!$B$5</f>
        <v>1399.65</v>
      </c>
    </row>
    <row r="8" customFormat="false" ht="15" hidden="false" customHeight="true" outlineLevel="0" collapsed="false">
      <c r="A8" s="3" t="s">
        <v>286</v>
      </c>
      <c r="B8" s="50" t="n">
        <f aca="false">B7*Inputs!$B$6</f>
        <v>419.895</v>
      </c>
    </row>
    <row r="10" customFormat="false" ht="15" hidden="false" customHeight="true" outlineLevel="0" collapsed="false">
      <c r="A10" s="47" t="s">
        <v>287</v>
      </c>
    </row>
    <row r="11" customFormat="false" ht="15" hidden="false" customHeight="true" outlineLevel="0" collapsed="false">
      <c r="B11" s="47" t="s">
        <v>288</v>
      </c>
      <c r="C11" s="47" t="s">
        <v>289</v>
      </c>
      <c r="D11" s="47" t="s">
        <v>290</v>
      </c>
      <c r="E11" s="47" t="s">
        <v>291</v>
      </c>
      <c r="F11" s="47" t="s">
        <v>292</v>
      </c>
    </row>
    <row r="12" customFormat="false" ht="15" hidden="false" customHeight="true" outlineLevel="0" collapsed="false">
      <c r="A12" s="3" t="s">
        <v>293</v>
      </c>
      <c r="B12" s="51" t="n">
        <f aca="false">Inputs!$B$7</f>
        <v>18394912</v>
      </c>
      <c r="C12" s="51" t="n">
        <f aca="false">Inputs!$B$8</f>
        <v>16349831</v>
      </c>
      <c r="D12" s="51" t="n">
        <f aca="false">Inputs!$B$9</f>
        <v>8520435</v>
      </c>
      <c r="E12" s="51" t="n">
        <f aca="false">Inputs!$B$10</f>
        <v>5057709</v>
      </c>
      <c r="F12" s="49" t="n">
        <f aca="false">SUM(B12:E12)</f>
        <v>48322887</v>
      </c>
    </row>
    <row r="13" customFormat="false" ht="15" hidden="false" customHeight="true" outlineLevel="0" collapsed="false">
      <c r="A13" s="3" t="s">
        <v>294</v>
      </c>
      <c r="B13" s="49" t="n">
        <f aca="false">B12*Inputs!$B$11</f>
        <v>24833131.2</v>
      </c>
      <c r="C13" s="49" t="n">
        <f aca="false">C12*Inputs!$B$11*Inputs!$B$12</f>
        <v>29797566.9975</v>
      </c>
      <c r="D13" s="49" t="n">
        <f aca="false">D12*Inputs!$B$11</f>
        <v>11502587.25</v>
      </c>
      <c r="E13" s="49" t="n">
        <f aca="false">E12*Inputs!$B$11</f>
        <v>6827907.15</v>
      </c>
      <c r="F13" s="49" t="n">
        <f aca="false">SUM(B13:E13)</f>
        <v>72961192.5975</v>
      </c>
    </row>
    <row r="14" customFormat="false" ht="15" hidden="false" customHeight="true" outlineLevel="0" collapsed="false">
      <c r="A14" s="3" t="s">
        <v>295</v>
      </c>
      <c r="B14" s="49" t="n">
        <f aca="false">B13/Inputs!$B$13</f>
        <v>5912650.28571429</v>
      </c>
      <c r="C14" s="49" t="n">
        <f aca="false">C13/Inputs!$B$13</f>
        <v>7094658.80892857</v>
      </c>
      <c r="D14" s="49" t="n">
        <f aca="false">D13/Inputs!$B$13</f>
        <v>2738711.25</v>
      </c>
      <c r="E14" s="49" t="n">
        <f aca="false">E13/Inputs!$B$13</f>
        <v>1625692.17857143</v>
      </c>
      <c r="F14" s="49" t="n">
        <f aca="false">SUM(B14:E14)</f>
        <v>17371712.5232143</v>
      </c>
    </row>
    <row r="15" customFormat="false" ht="15" hidden="false" customHeight="true" outlineLevel="0" collapsed="false">
      <c r="A15" s="3" t="s">
        <v>296</v>
      </c>
      <c r="B15" s="49" t="n">
        <f aca="false">B14*Inputs!$B$14</f>
        <v>709518.034285714</v>
      </c>
      <c r="C15" s="49" t="n">
        <f aca="false">C14*Inputs!$B$14</f>
        <v>851359.057071429</v>
      </c>
      <c r="D15" s="49" t="n">
        <f aca="false">D14*Inputs!$B$14</f>
        <v>328645.35</v>
      </c>
      <c r="E15" s="49" t="n">
        <f aca="false">E14*Inputs!$B$14</f>
        <v>195083.061428571</v>
      </c>
      <c r="F15" s="49" t="n">
        <f aca="false">SUM(B15:E15)</f>
        <v>2084605.50278571</v>
      </c>
    </row>
    <row r="16" customFormat="false" ht="15" hidden="false" customHeight="true" outlineLevel="0" collapsed="false">
      <c r="A16" s="3" t="s">
        <v>297</v>
      </c>
      <c r="B16" s="49" t="n">
        <f aca="false">B15*Inputs!$B$15</f>
        <v>283807.213714286</v>
      </c>
      <c r="C16" s="49" t="n">
        <f aca="false">C15*Inputs!$B$15</f>
        <v>340543.622828571</v>
      </c>
      <c r="D16" s="49" t="n">
        <f aca="false">D15*Inputs!$B$15</f>
        <v>131458.14</v>
      </c>
      <c r="E16" s="49" t="n">
        <f aca="false">E15*Inputs!$B$15</f>
        <v>78033.2245714286</v>
      </c>
      <c r="F16" s="49" t="n">
        <f aca="false">SUM(B16:E16)</f>
        <v>833842.201114286</v>
      </c>
    </row>
    <row r="17" customFormat="false" ht="15" hidden="false" customHeight="true" outlineLevel="0" collapsed="false">
      <c r="A17" s="3" t="s">
        <v>298</v>
      </c>
      <c r="B17" s="49" t="n">
        <f aca="false">B16*Inputs!$B$16</f>
        <v>425710.820571429</v>
      </c>
      <c r="C17" s="49" t="n">
        <f aca="false">C16*Inputs!$B$16</f>
        <v>510815.434242857</v>
      </c>
      <c r="D17" s="49" t="n">
        <f aca="false">D16*Inputs!$B$16</f>
        <v>197187.21</v>
      </c>
      <c r="E17" s="49" t="n">
        <f aca="false">E16*Inputs!$B$16</f>
        <v>117049.836857143</v>
      </c>
      <c r="F17" s="49" t="n">
        <f aca="false">SUM(B17:E17)</f>
        <v>1250763.30167143</v>
      </c>
    </row>
    <row r="18" customFormat="false" ht="15" hidden="false" customHeight="true" outlineLevel="0" collapsed="false">
      <c r="A18" s="3" t="s">
        <v>299</v>
      </c>
      <c r="B18" s="52" t="n">
        <f aca="false">B17*Inputs!$B$17/10000000</f>
        <v>212.855410285714</v>
      </c>
      <c r="C18" s="52" t="n">
        <f aca="false">C17*Inputs!$B$17/10000000</f>
        <v>255.407717121429</v>
      </c>
      <c r="D18" s="52" t="n">
        <f aca="false">D17*Inputs!$B$17/10000000</f>
        <v>98.593605</v>
      </c>
      <c r="E18" s="52" t="n">
        <f aca="false">E17*Inputs!$B$17/10000000</f>
        <v>58.5249184285714</v>
      </c>
      <c r="F18" s="53" t="n">
        <f aca="false">SUM(B18:E18)</f>
        <v>625.381650835714</v>
      </c>
    </row>
    <row r="20" customFormat="false" ht="15" hidden="false" customHeight="true" outlineLevel="0" collapsed="false">
      <c r="A20" s="47" t="s">
        <v>300</v>
      </c>
    </row>
    <row r="21" customFormat="false" ht="15" hidden="false" customHeight="true" outlineLevel="0" collapsed="false">
      <c r="A21" s="3" t="s">
        <v>301</v>
      </c>
      <c r="B21" s="49" t="n">
        <f aca="false">B8</f>
        <v>419.895</v>
      </c>
    </row>
    <row r="22" customFormat="false" ht="15" hidden="false" customHeight="true" outlineLevel="0" collapsed="false">
      <c r="A22" s="3" t="s">
        <v>302</v>
      </c>
      <c r="B22" s="49" t="n">
        <f aca="false">F18</f>
        <v>625.381650835714</v>
      </c>
    </row>
    <row r="23" customFormat="false" ht="15" hidden="false" customHeight="true" outlineLevel="0" collapsed="false">
      <c r="A23" s="3" t="s">
        <v>303</v>
      </c>
      <c r="B23" s="9" t="n">
        <f aca="false">IF(B21=0,"",B22/B21)</f>
        <v>1.48937627462988</v>
      </c>
    </row>
    <row r="24" customFormat="false" ht="15" hidden="false" customHeight="true" outlineLevel="0" collapsed="false">
      <c r="A24" s="3" t="s">
        <v>304</v>
      </c>
      <c r="B24" s="8" t="str">
        <f aca="false">IF(B23="","",IF(AND(B23&gt;=0.5,B23&lt;=2),"yes","NO"))</f>
        <v>yes</v>
      </c>
    </row>
    <row r="25" customFormat="false" ht="15" hidden="false" customHeight="true" outlineLevel="0" collapsed="false">
      <c r="A25" s="3" t="s">
        <v>305</v>
      </c>
      <c r="B25" s="49" t="n">
        <f aca="false">MIN(B21,B22)</f>
        <v>419.895</v>
      </c>
    </row>
    <row r="26" customFormat="false" ht="15" hidden="false" customHeight="true" outlineLevel="0" collapsed="false">
      <c r="A26" s="3" t="s">
        <v>306</v>
      </c>
      <c r="B26" s="54" t="n">
        <f aca="false">B25*Inputs!$B$18</f>
        <v>2.099475</v>
      </c>
    </row>
    <row r="27" customFormat="false" ht="15" hidden="false" customHeight="true" outlineLevel="0" collapsed="false">
      <c r="A27" s="3" t="s">
        <v>307</v>
      </c>
      <c r="B27" s="49" t="n">
        <f aca="false">B26*10000000/Inputs!$B$17</f>
        <v>4198.95</v>
      </c>
    </row>
    <row r="29" customFormat="false" ht="15" hidden="false" customHeight="true" outlineLevel="0" collapsed="false">
      <c r="A29" s="47" t="s">
        <v>308</v>
      </c>
    </row>
    <row r="30" customFormat="false" ht="30" hidden="false" customHeight="true" outlineLevel="0" collapsed="false">
      <c r="A30" s="30" t="s">
        <v>309</v>
      </c>
      <c r="B30" s="30"/>
      <c r="C30" s="30"/>
      <c r="D30" s="30"/>
      <c r="E30" s="30"/>
      <c r="F30" s="30"/>
      <c r="G30" s="30"/>
      <c r="H30" s="30"/>
    </row>
    <row r="31" customFormat="false" ht="30" hidden="false" customHeight="true" outlineLevel="0" collapsed="false">
      <c r="A31" s="30" t="s">
        <v>310</v>
      </c>
      <c r="B31" s="30"/>
      <c r="C31" s="30"/>
      <c r="D31" s="30"/>
      <c r="E31" s="30"/>
      <c r="F31" s="30"/>
      <c r="G31" s="30"/>
      <c r="H31" s="30"/>
    </row>
    <row r="32" customFormat="false" ht="30" hidden="false" customHeight="true" outlineLevel="0" collapsed="false">
      <c r="A32" s="30" t="s">
        <v>311</v>
      </c>
      <c r="B32" s="30"/>
      <c r="C32" s="30"/>
      <c r="D32" s="30"/>
      <c r="E32" s="30"/>
      <c r="F32" s="30"/>
      <c r="G32" s="30"/>
      <c r="H32" s="30"/>
    </row>
    <row r="33" customFormat="false" ht="30" hidden="false" customHeight="true" outlineLevel="0" collapsed="false">
      <c r="A33" s="30" t="s">
        <v>312</v>
      </c>
      <c r="B33" s="30"/>
      <c r="C33" s="30"/>
      <c r="D33" s="30"/>
      <c r="E33" s="30"/>
      <c r="F33" s="30"/>
      <c r="G33" s="30"/>
      <c r="H33" s="30"/>
    </row>
  </sheetData>
  <mergeCells count="4">
    <mergeCell ref="A30:H30"/>
    <mergeCell ref="A31:H31"/>
    <mergeCell ref="A32:H32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2026-09-29T15:44:38Z</dcterms:created>
  <dc:creator>openpyxl</dc:creator>
  <dc:description/>
  <dc:language>en-US</dc:language>
  <cp:lastModifiedBy/>
  <dcterms:modified xsi:type="dcterms:W3CDTF">2026-09-30T13:13:48Z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